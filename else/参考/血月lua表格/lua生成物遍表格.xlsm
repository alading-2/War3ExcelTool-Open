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188" windowHeight="9180" activeTab="3"/>
  </bookViews>
  <sheets>
    <sheet name="单位" sheetId="2" r:id="rId1"/>
    <sheet name="技能" sheetId="4" r:id="rId2"/>
    <sheet name="科技" sheetId="5" r:id="rId3"/>
    <sheet name="物品" sheetId="1" r:id="rId4"/>
    <sheet name="辅助表格" sheetId="3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<sst xmlns="http://schemas.openxmlformats.org/spreadsheetml/2006/main" count="2177" uniqueCount="570">
  <si>
    <t>16</t>
  </si>
  <si>
    <t>模板</t>
  </si>
  <si>
    <t>名字</t>
  </si>
  <si>
    <t>基础伤害</t>
  </si>
  <si>
    <t>基础护甲</t>
  </si>
  <si>
    <t>最大生命值</t>
  </si>
  <si>
    <t>攻速</t>
  </si>
  <si>
    <t>技能</t>
  </si>
  <si>
    <t>攻击范围</t>
  </si>
  <si>
    <t>主动攻击范围</t>
  </si>
  <si>
    <t>攻击目标</t>
  </si>
  <si>
    <t>人口占用</t>
  </si>
  <si>
    <t>模型缩放</t>
  </si>
  <si>
    <t>等级</t>
  </si>
  <si>
    <t>攻击类型</t>
  </si>
  <si>
    <t>选择缩放</t>
  </si>
  <si>
    <t>防御类型</t>
  </si>
  <si>
    <t>使用科技</t>
  </si>
  <si>
    <t>unit</t>
  </si>
  <si>
    <t>Name</t>
  </si>
  <si>
    <t>dmgplus1</t>
  </si>
  <si>
    <t>def</t>
  </si>
  <si>
    <t>HP</t>
  </si>
  <si>
    <t>cool1</t>
  </si>
  <si>
    <t>abilList</t>
  </si>
  <si>
    <t>rangeN1</t>
  </si>
  <si>
    <t>acquire</t>
  </si>
  <si>
    <t>targs1</t>
  </si>
  <si>
    <t>fused</t>
  </si>
  <si>
    <t>modelScale</t>
  </si>
  <si>
    <t>level</t>
  </si>
  <si>
    <t>atkType1</t>
  </si>
  <si>
    <t>scale</t>
  </si>
  <si>
    <t>defType</t>
  </si>
  <si>
    <t>upgrades</t>
  </si>
  <si>
    <t>hfoo</t>
  </si>
  <si>
    <t>#</t>
  </si>
  <si>
    <t>enemies</t>
  </si>
  <si>
    <t>normal</t>
  </si>
  <si>
    <t>1</t>
  </si>
  <si>
    <t>hrif</t>
  </si>
  <si>
    <t>ogru</t>
  </si>
  <si>
    <t>5</t>
  </si>
  <si>
    <t>提示</t>
  </si>
  <si>
    <t>提示拓展</t>
  </si>
  <si>
    <t>需求</t>
  </si>
  <si>
    <t>X</t>
  </si>
  <si>
    <t>Y</t>
  </si>
  <si>
    <t>ability</t>
  </si>
  <si>
    <t>Tip</t>
  </si>
  <si>
    <t>Ubertip</t>
  </si>
  <si>
    <t>Requires</t>
  </si>
  <si>
    <t>Buttonpos</t>
  </si>
  <si>
    <t>Asth</t>
  </si>
  <si>
    <t>金</t>
  </si>
  <si>
    <t>R000</t>
  </si>
  <si>
    <t>0</t>
  </si>
  <si>
    <t>木</t>
  </si>
  <si>
    <t>R001</t>
  </si>
  <si>
    <t>水</t>
  </si>
  <si>
    <t>R002</t>
  </si>
  <si>
    <t>火</t>
  </si>
  <si>
    <t>R003</t>
  </si>
  <si>
    <t>土</t>
  </si>
  <si>
    <t>R004</t>
  </si>
  <si>
    <t>白羊</t>
  </si>
  <si>
    <t>R00C</t>
  </si>
  <si>
    <t>金牛</t>
  </si>
  <si>
    <t>R00D</t>
  </si>
  <si>
    <t>双子</t>
  </si>
  <si>
    <t>R00E</t>
  </si>
  <si>
    <t>巨蟹</t>
  </si>
  <si>
    <t>R00F</t>
  </si>
  <si>
    <t>狮子</t>
  </si>
  <si>
    <t>R00G</t>
  </si>
  <si>
    <t>处女</t>
  </si>
  <si>
    <t>R00H</t>
  </si>
  <si>
    <t>天枰</t>
  </si>
  <si>
    <t>R00I</t>
  </si>
  <si>
    <t>天蝎</t>
  </si>
  <si>
    <t>R00J</t>
  </si>
  <si>
    <t>射手</t>
  </si>
  <si>
    <t>R00K</t>
  </si>
  <si>
    <t>摩羯</t>
  </si>
  <si>
    <t>R00L</t>
  </si>
  <si>
    <t>水瓶</t>
  </si>
  <si>
    <t>R00M</t>
  </si>
  <si>
    <t>双鱼</t>
  </si>
  <si>
    <t>R00N</t>
  </si>
  <si>
    <t>子鼠</t>
  </si>
  <si>
    <t>R00O</t>
  </si>
  <si>
    <t>丑牛</t>
  </si>
  <si>
    <t>R00P</t>
  </si>
  <si>
    <t>寅虎</t>
  </si>
  <si>
    <t>R00Q</t>
  </si>
  <si>
    <t>卯兔</t>
  </si>
  <si>
    <t>R00R</t>
  </si>
  <si>
    <t>辰龙</t>
  </si>
  <si>
    <t>R00S</t>
  </si>
  <si>
    <t>巳蛇</t>
  </si>
  <si>
    <t>R00T</t>
  </si>
  <si>
    <t>午马</t>
  </si>
  <si>
    <t>R00U</t>
  </si>
  <si>
    <t>未羊</t>
  </si>
  <si>
    <t>R00V</t>
  </si>
  <si>
    <t>申猴</t>
  </si>
  <si>
    <t>R00W</t>
  </si>
  <si>
    <t>酉鸡</t>
  </si>
  <si>
    <t>R00X</t>
  </si>
  <si>
    <t>戌狗</t>
  </si>
  <si>
    <t>R00Y</t>
  </si>
  <si>
    <t>亥猪</t>
  </si>
  <si>
    <t>R00Z</t>
  </si>
  <si>
    <t>立春雨水</t>
  </si>
  <si>
    <t>R010</t>
  </si>
  <si>
    <t>惊蛰春分</t>
  </si>
  <si>
    <t>R011</t>
  </si>
  <si>
    <t>清明谷雨</t>
  </si>
  <si>
    <t>R012</t>
  </si>
  <si>
    <t>立夏小满</t>
  </si>
  <si>
    <t>R013</t>
  </si>
  <si>
    <t>芒种夏至</t>
  </si>
  <si>
    <t>R014</t>
  </si>
  <si>
    <t>小暑大暑</t>
  </si>
  <si>
    <t>R015</t>
  </si>
  <si>
    <t>立秋处暑</t>
  </si>
  <si>
    <t>R016</t>
  </si>
  <si>
    <t>白露秋分</t>
  </si>
  <si>
    <t>R017</t>
  </si>
  <si>
    <t>寒露霜降</t>
  </si>
  <si>
    <t>R018</t>
  </si>
  <si>
    <t>立冬小雪</t>
  </si>
  <si>
    <t>R019</t>
  </si>
  <si>
    <t>大雪冬至</t>
  </si>
  <si>
    <t>R01A</t>
  </si>
  <si>
    <t>小寒大寒</t>
  </si>
  <si>
    <t>R01B</t>
  </si>
  <si>
    <t>青龙圣力</t>
  </si>
  <si>
    <t>R01C</t>
  </si>
  <si>
    <t>白虎圣力</t>
  </si>
  <si>
    <t>R01D</t>
  </si>
  <si>
    <t>朱雀圣力</t>
  </si>
  <si>
    <t>R01E</t>
  </si>
  <si>
    <t>玄武圣力</t>
  </si>
  <si>
    <t>R01F</t>
  </si>
  <si>
    <t>生命蓝灵</t>
  </si>
  <si>
    <t>R01G</t>
  </si>
  <si>
    <t>风之青灵</t>
  </si>
  <si>
    <t>R01H</t>
  </si>
  <si>
    <t>意志狂灵</t>
  </si>
  <si>
    <t>R01I</t>
  </si>
  <si>
    <t>烈焰红灵</t>
  </si>
  <si>
    <t>R01J</t>
  </si>
  <si>
    <t>尊灵羁绊</t>
  </si>
  <si>
    <t>R01O</t>
  </si>
  <si>
    <t>雷霆羁绊</t>
  </si>
  <si>
    <t>R01P</t>
  </si>
  <si>
    <t>裂元羁绊</t>
  </si>
  <si>
    <t>R01Q</t>
  </si>
  <si>
    <t>夜阑羁绊</t>
  </si>
  <si>
    <t>R01R</t>
  </si>
  <si>
    <t>血魂羁绊</t>
  </si>
  <si>
    <t>R01S</t>
  </si>
  <si>
    <t>黑月羁绊</t>
  </si>
  <si>
    <t>R01T</t>
  </si>
  <si>
    <t>炼狱羁绊</t>
  </si>
  <si>
    <t>R01U</t>
  </si>
  <si>
    <t>幽冥羁绊</t>
  </si>
  <si>
    <t>R01V</t>
  </si>
  <si>
    <t>盘古斧</t>
  </si>
  <si>
    <t>R01W</t>
  </si>
  <si>
    <t>神农鼎</t>
  </si>
  <si>
    <t>R01X</t>
  </si>
  <si>
    <t>后羿弓</t>
  </si>
  <si>
    <t>R01Y</t>
  </si>
  <si>
    <t>轩辕剑</t>
  </si>
  <si>
    <t>R01Z</t>
  </si>
  <si>
    <t>R009</t>
  </si>
  <si>
    <t>R00A</t>
  </si>
  <si>
    <t>R00B</t>
  </si>
  <si>
    <t>R01K</t>
  </si>
  <si>
    <t>R01L</t>
  </si>
  <si>
    <t>R01M</t>
  </si>
  <si>
    <t>R01N</t>
  </si>
  <si>
    <t>R020</t>
  </si>
  <si>
    <t>R021</t>
  </si>
  <si>
    <t>R022</t>
  </si>
  <si>
    <t>R023</t>
  </si>
  <si>
    <t>R024</t>
  </si>
  <si>
    <t>R025</t>
  </si>
  <si>
    <t>R026</t>
  </si>
  <si>
    <t>R027</t>
  </si>
  <si>
    <t>R028</t>
  </si>
  <si>
    <t>R029</t>
  </si>
  <si>
    <t>R02A</t>
  </si>
  <si>
    <t>R02B</t>
  </si>
  <si>
    <t>R02C</t>
  </si>
  <si>
    <t>11</t>
  </si>
  <si>
    <t>效果1</t>
  </si>
  <si>
    <t>拓展提示</t>
  </si>
  <si>
    <t>基础黄金</t>
  </si>
  <si>
    <t>基础木材</t>
  </si>
  <si>
    <t>基础时间</t>
  </si>
  <si>
    <t>每黄金</t>
  </si>
  <si>
    <t>每木材</t>
  </si>
  <si>
    <t>每时间</t>
  </si>
  <si>
    <t>最高等级</t>
  </si>
  <si>
    <t>upgrade</t>
  </si>
  <si>
    <t>effect1</t>
  </si>
  <si>
    <t>goldbase</t>
  </si>
  <si>
    <t>lumberbase</t>
  </si>
  <si>
    <t>timebase</t>
  </si>
  <si>
    <t>goldmod</t>
  </si>
  <si>
    <t>lumbermod</t>
  </si>
  <si>
    <t>timemod</t>
  </si>
  <si>
    <t>maxlevel</t>
  </si>
  <si>
    <t>Rhme</t>
  </si>
  <si>
    <t>说明</t>
  </si>
  <si>
    <t>提示工具-基础</t>
  </si>
  <si>
    <t>提示工具扩展</t>
  </si>
  <si>
    <t>热键</t>
  </si>
  <si>
    <t>界面图标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</si>
  <si>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</si>
  <si>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</si>
  <si>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</si>
  <si>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</si>
  <si>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</si>
  <si>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</si>
  <si>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</si>
  <si>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</si>
  <si>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</si>
  <si>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</si>
  <si>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</si>
  <si>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</si>
  <si>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</si>
  <si>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</si>
  <si>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</si>
  <si>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</si>
  <si>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</si>
  <si>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</si>
  <si>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</si>
  <si>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</si>
  <si>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</si>
  <si>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</si>
  <si>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</si>
  <si>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</si>
  <si>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</si>
  <si>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</si>
  <si>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</si>
  <si>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</si>
  <si>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</si>
  <si>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Description</t>
  </si>
  <si>
    <t>Hotkey</t>
  </si>
  <si>
    <t>Art</t>
  </si>
  <si>
    <t>file</t>
  </si>
  <si>
    <t>colorR</t>
  </si>
  <si>
    <t>colorB</t>
  </si>
  <si>
    <t>colorG</t>
  </si>
  <si>
    <t>oldLevel</t>
  </si>
  <si>
    <t>Level</t>
  </si>
  <si>
    <t>class</t>
  </si>
  <si>
    <t>goldcost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</si>
  <si>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</si>
  <si>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</si>
  <si>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</si>
  <si>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</si>
  <si>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</si>
  <si>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</si>
  <si>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</si>
  <si>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</si>
  <si>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</si>
  <si>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</si>
  <si>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</si>
  <si>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</si>
  <si>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</si>
  <si>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</si>
  <si>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</si>
  <si>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</si>
  <si>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</si>
  <si>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ratc</t>
  </si>
  <si>
    <t>spro</t>
  </si>
  <si>
    <t>A038</t>
  </si>
  <si>
    <t>名称</t>
  </si>
  <si>
    <t>字体颜色</t>
  </si>
  <si>
    <t>属性</t>
  </si>
  <si>
    <t>获得条件</t>
  </si>
  <si>
    <t>简陋武器LV1</t>
  </si>
  <si>
    <t>白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</si>
  <si>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+20</t>
    </r>
  </si>
  <si>
    <r>
      <rPr>
        <sz val="11"/>
        <color theme="1"/>
        <rFont val="等线"/>
        <charset val="134"/>
        <scheme val="minor"/>
      </rPr>
      <t>10%</t>
    </r>
    <r>
      <rPr>
        <sz val="11"/>
        <color theme="1"/>
        <rFont val="宋体"/>
        <charset val="134"/>
      </rPr>
      <t>概率</t>
    </r>
    <r>
      <rPr>
        <sz val="11"/>
        <color theme="1"/>
        <rFont val="Tahoma"/>
        <charset val="134"/>
      </rPr>
      <t>3</t>
    </r>
    <r>
      <rPr>
        <sz val="11"/>
        <color theme="1"/>
        <rFont val="宋体"/>
        <charset val="134"/>
      </rPr>
      <t>倍范围伤害</t>
    </r>
  </si>
  <si>
    <t>初始获得</t>
  </si>
  <si>
    <t>简陋武器LV2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</si>
  <si>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+25</t>
    </r>
  </si>
  <si>
    <r>
      <rPr>
        <sz val="11"/>
        <color theme="1"/>
        <rFont val="宋体"/>
        <charset val="134"/>
      </rPr>
      <t>500</t>
    </r>
    <r>
      <rPr>
        <sz val="11"/>
        <color theme="1"/>
        <rFont val="宋体"/>
        <charset val="134"/>
      </rPr>
      <t>金币升级</t>
    </r>
  </si>
  <si>
    <t>简陋武器LV3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</si>
  <si>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+30</t>
    </r>
  </si>
  <si>
    <r>
      <rPr>
        <sz val="11"/>
        <color theme="1"/>
        <rFont val="等线"/>
        <charset val="134"/>
        <scheme val="minor"/>
      </rPr>
      <t>10%</t>
    </r>
    <r>
      <rPr>
        <sz val="11"/>
        <color theme="1"/>
        <rFont val="宋体"/>
        <charset val="134"/>
      </rPr>
      <t>概率</t>
    </r>
    <r>
      <rPr>
        <sz val="11"/>
        <color theme="1"/>
        <rFont val="Tahoma"/>
        <charset val="134"/>
      </rPr>
      <t>3倍范围伤害</t>
    </r>
  </si>
  <si>
    <t>1000金币升级</t>
  </si>
  <si>
    <t>简陋武器LV4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</si>
  <si>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+35</t>
    </r>
  </si>
  <si>
    <r>
      <rPr>
        <sz val="11"/>
        <color theme="1"/>
        <rFont val="宋体"/>
        <charset val="134"/>
      </rPr>
      <t>1500金币升级</t>
    </r>
  </si>
  <si>
    <t>简陋武器LV5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</si>
  <si>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+40</t>
    </r>
  </si>
  <si>
    <t>2000金币升级</t>
  </si>
  <si>
    <t>普通武器LV1</t>
  </si>
  <si>
    <t>蓝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</si>
  <si>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+60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</si>
  <si>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+10%</t>
    </r>
  </si>
  <si>
    <t>简陋武器已经融合过白装后消耗4000金币召唤boss击杀升级</t>
  </si>
  <si>
    <t>普通武器LV2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</si>
  <si>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+75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</si>
  <si>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</t>
    </r>
    <r>
      <rPr>
        <sz val="11"/>
        <color theme="1"/>
        <rFont val="Tahoma"/>
        <charset val="134"/>
      </rPr>
      <t>15%</t>
    </r>
  </si>
  <si>
    <r>
      <rPr>
        <sz val="11"/>
        <color theme="1"/>
        <rFont val="宋体"/>
        <charset val="134"/>
      </rPr>
      <t>2500</t>
    </r>
    <r>
      <rPr>
        <sz val="11"/>
        <color theme="1"/>
        <rFont val="宋体"/>
        <charset val="134"/>
      </rPr>
      <t>金币升级</t>
    </r>
  </si>
  <si>
    <t>普通武器LV3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</si>
  <si>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+90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</si>
  <si>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+20%</t>
    </r>
  </si>
  <si>
    <t>3000金币升级</t>
  </si>
  <si>
    <t>普通武器LV4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</si>
  <si>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+105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</si>
  <si>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+25%</t>
    </r>
  </si>
  <si>
    <r>
      <rPr>
        <sz val="11"/>
        <color theme="1"/>
        <rFont val="宋体"/>
        <charset val="134"/>
      </rPr>
      <t>3500金币升级</t>
    </r>
  </si>
  <si>
    <t>普通武器LV5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</si>
  <si>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+120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</si>
  <si>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</t>
    </r>
    <r>
      <rPr>
        <sz val="11"/>
        <color theme="1"/>
        <rFont val="Tahoma"/>
        <charset val="134"/>
      </rPr>
      <t>30%</t>
    </r>
  </si>
  <si>
    <t>4000金币升级</t>
  </si>
  <si>
    <t>精良武器LV1</t>
  </si>
  <si>
    <t>紫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</si>
  <si>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+180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</si>
  <si>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+35%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</si>
  <si>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+5%</t>
    </r>
  </si>
  <si>
    <t>普通武器已经融合过蓝装后消耗8000金币召唤BOSS击杀升级</t>
  </si>
  <si>
    <t>精良武器LV2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</si>
  <si>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+225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</si>
  <si>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+40%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</si>
  <si>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+8%</t>
    </r>
  </si>
  <si>
    <r>
      <rPr>
        <sz val="11"/>
        <color theme="1"/>
        <rFont val="宋体"/>
        <charset val="134"/>
      </rPr>
      <t>4</t>
    </r>
    <r>
      <rPr>
        <sz val="11"/>
        <color theme="1"/>
        <rFont val="Tahoma"/>
        <charset val="134"/>
      </rPr>
      <t>500</t>
    </r>
    <r>
      <rPr>
        <sz val="11"/>
        <color theme="1"/>
        <rFont val="宋体"/>
        <charset val="134"/>
      </rPr>
      <t>金币升级</t>
    </r>
  </si>
  <si>
    <t>精良武器LV3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</si>
  <si>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+270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</si>
  <si>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+45%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</si>
  <si>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+11%</t>
    </r>
  </si>
  <si>
    <t>5000金币升级</t>
  </si>
  <si>
    <t>精良武器LV4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</si>
  <si>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+315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</si>
  <si>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+50%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</si>
  <si>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+14%</t>
    </r>
  </si>
  <si>
    <r>
      <rPr>
        <sz val="11"/>
        <color theme="1"/>
        <rFont val="宋体"/>
        <charset val="134"/>
      </rPr>
      <t>5500金币升级</t>
    </r>
  </si>
  <si>
    <t>精良武器LV5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</si>
  <si>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+360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</si>
  <si>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+55%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</si>
  <si>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+17%</t>
    </r>
  </si>
  <si>
    <t>6000金币升级</t>
  </si>
  <si>
    <t>极品武器LV1</t>
  </si>
  <si>
    <t>橙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</si>
  <si>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+540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</si>
  <si>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+60%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</si>
  <si>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+20%</t>
    </r>
  </si>
  <si>
    <t>暴击伤害+20%</t>
  </si>
  <si>
    <t>精良武器已经融合过橙装后消耗12000金币召唤BOSS击杀升级</t>
  </si>
  <si>
    <t>极品武器LV2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</si>
  <si>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+675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</si>
  <si>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+65%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</si>
  <si>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+23%</t>
    </r>
  </si>
  <si>
    <r>
      <rPr>
        <sz val="11"/>
        <color theme="1"/>
        <rFont val="宋体"/>
        <charset val="134"/>
      </rPr>
      <t>暴击伤害</t>
    </r>
    <r>
      <rPr>
        <sz val="11"/>
        <color theme="1"/>
        <rFont val="Tahoma"/>
        <charset val="134"/>
      </rPr>
      <t>+30%</t>
    </r>
  </si>
  <si>
    <r>
      <rPr>
        <sz val="11"/>
        <color theme="1"/>
        <rFont val="宋体"/>
        <charset val="134"/>
      </rPr>
      <t>6</t>
    </r>
    <r>
      <rPr>
        <sz val="11"/>
        <color theme="1"/>
        <rFont val="Tahoma"/>
        <charset val="134"/>
      </rPr>
      <t>500</t>
    </r>
    <r>
      <rPr>
        <sz val="11"/>
        <color theme="1"/>
        <rFont val="宋体"/>
        <charset val="134"/>
      </rPr>
      <t>金币升级</t>
    </r>
  </si>
  <si>
    <t>极品武器LV3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</si>
  <si>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+810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</si>
  <si>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+70%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</si>
  <si>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+26%</t>
    </r>
  </si>
  <si>
    <t>暴击伤害+40%</t>
  </si>
  <si>
    <t>7000金币升级</t>
  </si>
  <si>
    <t>极品武器LV4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</si>
  <si>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+945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</si>
  <si>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+75%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</si>
  <si>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+29%</t>
    </r>
  </si>
  <si>
    <r>
      <rPr>
        <sz val="11"/>
        <color theme="1"/>
        <rFont val="宋体"/>
        <charset val="134"/>
      </rPr>
      <t>暴击伤害</t>
    </r>
    <r>
      <rPr>
        <sz val="11"/>
        <color theme="1"/>
        <rFont val="Tahoma"/>
        <charset val="134"/>
      </rPr>
      <t>+50%</t>
    </r>
  </si>
  <si>
    <r>
      <rPr>
        <sz val="11"/>
        <color theme="1"/>
        <rFont val="宋体"/>
        <charset val="134"/>
      </rPr>
      <t>7500金币升级</t>
    </r>
  </si>
  <si>
    <t>极品武器LV5</t>
  </si>
  <si>
    <r>
      <rPr>
        <sz val="11"/>
        <color theme="1"/>
        <rFont val="宋体"/>
        <charset val="134"/>
      </rPr>
      <t>攻击力</t>
    </r>
    <r>
      <rPr>
        <sz val="11"/>
        <color theme="1"/>
        <rFont val="Tahoma"/>
        <charset val="134"/>
      </rPr>
      <t>+1080</t>
    </r>
  </si>
  <si>
    <r>
      <rPr>
        <sz val="11"/>
        <color theme="1"/>
        <rFont val="宋体"/>
        <charset val="134"/>
      </rPr>
      <t>攻速</t>
    </r>
    <r>
      <rPr>
        <sz val="11"/>
        <color theme="1"/>
        <rFont val="Tahoma"/>
        <charset val="134"/>
      </rPr>
      <t>+80%</t>
    </r>
  </si>
  <si>
    <r>
      <rPr>
        <sz val="11"/>
        <color theme="1"/>
        <rFont val="宋体"/>
        <charset val="134"/>
      </rPr>
      <t>暴击率</t>
    </r>
    <r>
      <rPr>
        <sz val="11"/>
        <color theme="1"/>
        <rFont val="Tahoma"/>
        <charset val="134"/>
      </rPr>
      <t>+32%</t>
    </r>
  </si>
  <si>
    <t>暴击伤害+60%</t>
  </si>
  <si>
    <t>8000金币升级</t>
  </si>
  <si>
    <t>|cff00ccff蓝</t>
  </si>
  <si>
    <t>|cffff00ff紫</t>
  </si>
  <si>
    <t>|cffff6600橙色</t>
  </si>
  <si>
    <t>波数</t>
  </si>
  <si>
    <t>生命值（近）</t>
  </si>
  <si>
    <t>生命值（远）</t>
  </si>
  <si>
    <t>攻击力（近）</t>
  </si>
  <si>
    <t>攻击力（远）</t>
  </si>
  <si>
    <t>攻击速度（近）</t>
  </si>
  <si>
    <t>攻击速度（远）</t>
  </si>
  <si>
    <t>金币产出（只）</t>
  </si>
  <si>
    <t>经验产出（只）</t>
  </si>
  <si>
    <t>第1波</t>
  </si>
  <si>
    <t>第2波</t>
  </si>
  <si>
    <t>第3波</t>
  </si>
  <si>
    <t>第4波</t>
  </si>
  <si>
    <t>第5波</t>
  </si>
  <si>
    <t>第6波</t>
  </si>
  <si>
    <t>第7波</t>
  </si>
  <si>
    <t>第8波</t>
  </si>
  <si>
    <t>第9波</t>
  </si>
  <si>
    <t>第10波</t>
  </si>
  <si>
    <t>第11波</t>
  </si>
  <si>
    <t>第12波</t>
  </si>
  <si>
    <t>第13波</t>
  </si>
  <si>
    <t>第14波</t>
  </si>
  <si>
    <t>第15波</t>
  </si>
  <si>
    <t>第16波</t>
  </si>
  <si>
    <t>第17波</t>
  </si>
  <si>
    <t>第18波</t>
  </si>
  <si>
    <t>第19波</t>
  </si>
  <si>
    <t>第20波</t>
  </si>
  <si>
    <t>第21波</t>
  </si>
  <si>
    <t>第22波</t>
  </si>
  <si>
    <t>第23波</t>
  </si>
  <si>
    <t>第24波</t>
  </si>
  <si>
    <t>第25波</t>
  </si>
  <si>
    <t>装备品质</t>
  </si>
  <si>
    <t>效果</t>
  </si>
  <si>
    <t>巨人腰带</t>
  </si>
  <si>
    <t>力量+20</t>
  </si>
  <si>
    <t>红水晶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</si>
  <si>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+800</t>
    </r>
  </si>
  <si>
    <t>铁斧</t>
  </si>
  <si>
    <t>匕首</t>
  </si>
  <si>
    <r>
      <rPr>
        <sz val="11"/>
        <color theme="1"/>
        <rFont val="宋体"/>
        <charset val="134"/>
      </rPr>
      <t>攻击速度</t>
    </r>
    <r>
      <rPr>
        <sz val="11"/>
        <color theme="1"/>
        <rFont val="Tahoma"/>
        <charset val="134"/>
      </rPr>
      <t>+15%</t>
    </r>
  </si>
  <si>
    <t>蓝水晶</t>
  </si>
  <si>
    <r>
      <rPr>
        <sz val="11"/>
        <color theme="1"/>
        <rFont val="宋体"/>
        <charset val="134"/>
      </rPr>
      <t>法力值</t>
    </r>
    <r>
      <rPr>
        <sz val="11"/>
        <color theme="1"/>
        <rFont val="Tahoma"/>
        <charset val="134"/>
      </rPr>
      <t>+80</t>
    </r>
  </si>
  <si>
    <t>桃木枝</t>
  </si>
  <si>
    <t>技能强度+0.2</t>
  </si>
  <si>
    <t>强身护腕</t>
  </si>
  <si>
    <t>力量+90</t>
  </si>
  <si>
    <t>护身甲</t>
  </si>
  <si>
    <t>护甲+2</t>
  </si>
  <si>
    <t>生命回复+1%</t>
  </si>
  <si>
    <t>亮银枪</t>
  </si>
  <si>
    <t>攻击+180</t>
  </si>
  <si>
    <t>虎爪</t>
  </si>
  <si>
    <t>攻击+120</t>
  </si>
  <si>
    <t>敏捷+60</t>
  </si>
  <si>
    <t>智慧之冠</t>
  </si>
  <si>
    <t>智力+60</t>
  </si>
  <si>
    <t>法力回复+2%</t>
  </si>
  <si>
    <t>顺风斗篷</t>
  </si>
  <si>
    <t>移速+25%</t>
  </si>
  <si>
    <t>闪避+5%</t>
  </si>
  <si>
    <t>祝福项链</t>
  </si>
  <si>
    <t>三围+60</t>
  </si>
  <si>
    <t>生命回复+2%</t>
  </si>
  <si>
    <t>法力回复+4%</t>
  </si>
  <si>
    <t>嗜血扳指</t>
  </si>
  <si>
    <t>吸血+10%</t>
  </si>
  <si>
    <t>杀敌5%+1随机属性</t>
  </si>
  <si>
    <t>震荡板甲</t>
  </si>
  <si>
    <t>护甲+3</t>
  </si>
  <si>
    <t>反伤15%</t>
  </si>
  <si>
    <t>切割者</t>
  </si>
  <si>
    <t>攻击+360</t>
  </si>
  <si>
    <t>使被攻击者进入流血状态，每秒造成攻击*0.2的伤害持续3s</t>
  </si>
  <si>
    <t>聚能法袍</t>
  </si>
  <si>
    <t>技能强度+0.5</t>
  </si>
  <si>
    <t>每次释放技能对周围敌人造成智力*3的伤害</t>
  </si>
  <si>
    <t>劈山刀</t>
  </si>
  <si>
    <t>25%范围伤害</t>
  </si>
  <si>
    <t>圣灵珠</t>
  </si>
  <si>
    <t>三围+180，</t>
  </si>
  <si>
    <t>每0.5s自动攻击周围敌人一次，造成三围*1的伤害</t>
  </si>
  <si>
    <t>流影镜</t>
  </si>
  <si>
    <t>主动技能分身：分裂一个与自己一模一样的镜像，造成50%伤害，承受200%伤害</t>
  </si>
  <si>
    <t>龙牙刺</t>
  </si>
  <si>
    <t>攻击力+1080</t>
  </si>
  <si>
    <t>暴击率+10%</t>
  </si>
  <si>
    <r>
      <rPr>
        <sz val="11"/>
        <color theme="1"/>
        <rFont val="等线"/>
        <charset val="134"/>
        <scheme val="minor"/>
      </rPr>
      <t>暴击伤害</t>
    </r>
    <r>
      <rPr>
        <sz val="11"/>
        <color theme="1"/>
        <rFont val="等线"/>
        <charset val="134"/>
        <scheme val="minor"/>
      </rPr>
      <t>+50%</t>
    </r>
  </si>
  <si>
    <t>胜利之剑</t>
  </si>
  <si>
    <t>攻速+50%</t>
  </si>
  <si>
    <t>主动技能无敌2s</t>
  </si>
  <si>
    <t>铁壁</t>
  </si>
  <si>
    <t>减伤20%</t>
  </si>
  <si>
    <t>生命值+21600</t>
  </si>
  <si>
    <t>生命回复+3.5%</t>
  </si>
  <si>
    <t>反伤30%</t>
  </si>
  <si>
    <t>贤者之书</t>
  </si>
  <si>
    <t>智力+540</t>
  </si>
  <si>
    <t>法力值+2160</t>
  </si>
  <si>
    <t>法力回复+7%</t>
  </si>
  <si>
    <t>技能强度+1</t>
  </si>
  <si>
    <t>简陋防具LV1</t>
  </si>
  <si>
    <r>
      <rPr>
        <sz val="11"/>
        <color theme="1"/>
        <rFont val="宋体"/>
        <charset val="134"/>
      </rPr>
      <t>护甲</t>
    </r>
    <r>
      <rPr>
        <sz val="11"/>
        <color theme="1"/>
        <rFont val="Tahoma"/>
        <charset val="134"/>
      </rPr>
      <t>+1</t>
    </r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</si>
  <si>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+400</t>
    </r>
  </si>
  <si>
    <t>简陋防具LV2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</si>
  <si>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+500</t>
    </r>
  </si>
  <si>
    <t>简陋防具LV3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</si>
  <si>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+600</t>
    </r>
  </si>
  <si>
    <t>简陋防具LV4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</si>
  <si>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+700</t>
    </r>
  </si>
  <si>
    <t>简陋防具LV5</t>
  </si>
  <si>
    <t>普通防具LV1</t>
  </si>
  <si>
    <r>
      <rPr>
        <sz val="11"/>
        <color theme="1"/>
        <rFont val="宋体"/>
        <charset val="134"/>
      </rPr>
      <t>护甲</t>
    </r>
    <r>
      <rPr>
        <sz val="11"/>
        <color theme="1"/>
        <rFont val="Tahoma"/>
        <charset val="134"/>
      </rPr>
      <t>+2</t>
    </r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</si>
  <si>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+1200</t>
    </r>
  </si>
  <si>
    <t>生命回复+0.5%</t>
  </si>
  <si>
    <t>法力回复+1.0%</t>
  </si>
  <si>
    <t>普通防具LV2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</si>
  <si>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+1500</t>
    </r>
  </si>
  <si>
    <t>生命回复+0.6%</t>
  </si>
  <si>
    <t>法力回复+1.2%</t>
  </si>
  <si>
    <t>普通防具LV3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</si>
  <si>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+1800</t>
    </r>
  </si>
  <si>
    <t>生命回复+0.7%</t>
  </si>
  <si>
    <t>法力回复+1.4%</t>
  </si>
  <si>
    <t>普通防具LV4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</si>
  <si>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+2100</t>
    </r>
  </si>
  <si>
    <t>生命回复+0.8%</t>
  </si>
  <si>
    <t>法力回复+1.6%</t>
  </si>
  <si>
    <t>普通防具LV5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</si>
  <si>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+2400</t>
    </r>
  </si>
  <si>
    <t xml:space="preserve"> </t>
  </si>
  <si>
    <t>精良防具LV1</t>
  </si>
  <si>
    <r>
      <rPr>
        <sz val="11"/>
        <color theme="1"/>
        <rFont val="宋体"/>
        <charset val="134"/>
      </rPr>
      <t>护甲</t>
    </r>
    <r>
      <rPr>
        <sz val="11"/>
        <color theme="1"/>
        <rFont val="Tahoma"/>
        <charset val="134"/>
      </rPr>
      <t>+3</t>
    </r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</si>
  <si>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+3600</t>
    </r>
  </si>
  <si>
    <t>生命回复+1.2%</t>
  </si>
  <si>
    <t>法力回复+2.4%</t>
  </si>
  <si>
    <t>闪避+3%</t>
  </si>
  <si>
    <t>精良防具LV2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</si>
  <si>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+4500</t>
    </r>
  </si>
  <si>
    <t>生命回复+1.4%</t>
  </si>
  <si>
    <t>法力回复+2.8%</t>
  </si>
  <si>
    <t>闪避+3.5%</t>
  </si>
  <si>
    <t>精良防具LV3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</si>
  <si>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+5400</t>
    </r>
  </si>
  <si>
    <t>生命回复+1.6%</t>
  </si>
  <si>
    <t>法力回复+3.2%</t>
  </si>
  <si>
    <t>闪避+4%</t>
  </si>
  <si>
    <t>精良防具LV4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</si>
  <si>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+6300</t>
    </r>
  </si>
  <si>
    <t>生命回复+1.8%</t>
  </si>
  <si>
    <t>法力回复+3.6%</t>
  </si>
  <si>
    <t>闪避+4.5%</t>
  </si>
  <si>
    <t>精良防具LV5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</si>
  <si>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+7200</t>
    </r>
  </si>
  <si>
    <t>极品防具LV1</t>
  </si>
  <si>
    <r>
      <rPr>
        <sz val="11"/>
        <color theme="1"/>
        <rFont val="宋体"/>
        <charset val="134"/>
      </rPr>
      <t>护甲</t>
    </r>
    <r>
      <rPr>
        <sz val="11"/>
        <color theme="1"/>
        <rFont val="Tahoma"/>
        <charset val="134"/>
      </rPr>
      <t>+4</t>
    </r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</si>
  <si>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+10800</t>
    </r>
  </si>
  <si>
    <t>生命回复+2.3%</t>
  </si>
  <si>
    <t>法力回复+4.6%</t>
  </si>
  <si>
    <t>闪避+6%</t>
  </si>
  <si>
    <t>吸血+5%</t>
  </si>
  <si>
    <t>极品防具LV2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</si>
  <si>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+13500</t>
    </r>
  </si>
  <si>
    <t>生命回复+2.6%</t>
  </si>
  <si>
    <t>法力回复+5.2%</t>
  </si>
  <si>
    <t>闪避+7%</t>
  </si>
  <si>
    <t>吸血+6%</t>
  </si>
  <si>
    <t>极品防具LV3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</si>
  <si>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+16200</t>
    </r>
  </si>
  <si>
    <t>生命回复+2.9%</t>
  </si>
  <si>
    <t>法力回复+5.8%</t>
  </si>
  <si>
    <t>闪避+8%</t>
  </si>
  <si>
    <t>吸血+7%</t>
  </si>
  <si>
    <t>极品防具LV4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</si>
  <si>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+18900</t>
    </r>
  </si>
  <si>
    <t>生命回复+3.2%</t>
  </si>
  <si>
    <t>法力回复+6.4%</t>
  </si>
  <si>
    <t>闪避+9%</t>
  </si>
  <si>
    <t>吸血+8%</t>
  </si>
  <si>
    <t>极品防具LV5</t>
  </si>
  <si>
    <r>
      <rPr>
        <sz val="11"/>
        <color theme="1"/>
        <rFont val="宋体"/>
        <charset val="134"/>
      </rPr>
      <t>生命值</t>
    </r>
    <r>
      <rPr>
        <sz val="11"/>
        <color theme="1"/>
        <rFont val="Tahoma"/>
        <charset val="134"/>
      </rPr>
      <t>+21600</t>
    </r>
  </si>
  <si>
    <t>闪避+10%</t>
  </si>
  <si>
    <t>吸血+9%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</si>
</sst>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</numFmts>
  <fonts count="34">
    <font>
      <sz val="11"/>
      <color theme="1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Tahoma"/>
      <charset val="134"/>
    </font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6"/>
      <color theme="1"/>
      <name val="等线"/>
      <charset val="134"/>
      <scheme val="minor"/>
    </font>
    <font>
      <sz val="11"/>
      <color theme="1"/>
      <name val="等线 Light"/>
      <charset val="134"/>
      <scheme val="major"/>
    </font>
    <font>
      <b/>
      <sz val="11"/>
      <color rgb="FFC00000"/>
      <name val="等线"/>
      <charset val="134"/>
      <scheme val="minor"/>
    </font>
    <font>
      <sz val="11"/>
      <color rgb="FF191919"/>
      <name val="Arial"/>
      <charset val="134"/>
    </font>
    <font>
      <sz val="11"/>
      <color rgb="FF191919"/>
      <name val="微软雅黑"/>
      <charset val="134"/>
    </font>
    <font>
      <sz val="11"/>
      <color rgb="FF191919"/>
      <name val="宋体"/>
      <charset val="134"/>
    </font>
    <font>
      <sz val="11"/>
      <color rgb="FFC00000"/>
      <name val="等线"/>
      <charset val="134"/>
      <scheme val="minor"/>
    </font>
    <font>
      <b/>
      <sz val="11"/>
      <color rgb="FFFF0000"/>
      <name val="等线"/>
      <charset val="134"/>
      <scheme val="minor"/>
    </font>
    <font>
      <b/>
      <sz val="11"/>
      <color theme="1"/>
      <name val="等线 Light"/>
      <charset val="134"/>
      <scheme val="maj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3" tint="0.59996337778862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4" borderId="8" applyNumberFormat="0" applyAlignment="0" applyProtection="0">
      <alignment vertical="center"/>
    </xf>
    <xf numFmtId="0" fontId="24" fillId="25" borderId="9" applyNumberFormat="0" applyAlignment="0" applyProtection="0">
      <alignment vertical="center"/>
    </xf>
    <xf numFmtId="0" fontId="25" fillId="25" borderId="8" applyNumberFormat="0" applyAlignment="0" applyProtection="0">
      <alignment vertical="center"/>
    </xf>
    <xf numFmtId="0" fontId="26" fillId="26" borderId="10" applyNumberFormat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2" fillId="45" borderId="0" applyNumberFormat="0" applyBorder="0" applyAlignment="0" applyProtection="0">
      <alignment vertical="center"/>
    </xf>
    <xf numFmtId="0" fontId="32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2" fillId="49" borderId="0" applyNumberFormat="0" applyBorder="0" applyAlignment="0" applyProtection="0">
      <alignment vertical="center"/>
    </xf>
    <xf numFmtId="0" fontId="32" fillId="50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2" borderId="0" applyNumberFormat="0" applyBorder="0" applyAlignment="0" applyProtection="0">
      <alignment vertical="center"/>
    </xf>
    <xf numFmtId="0" fontId="32" fillId="53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11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1" fillId="0" borderId="1" xfId="0" applyFont="1" applyBorder="1"/>
    <xf numFmtId="0" fontId="2" fillId="0" borderId="1" xfId="0" applyFont="1" applyBorder="1"/>
    <xf numFmtId="0" fontId="0" fillId="0" borderId="1" xfId="0" applyBorder="1"/>
    <xf numFmtId="0" fontId="3" fillId="3" borderId="0" xfId="0" applyFont="1" applyFill="1"/>
    <xf numFmtId="0" fontId="0" fillId="3" borderId="0" xfId="0" applyFill="1"/>
    <xf numFmtId="0" fontId="3" fillId="4" borderId="2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2" xfId="0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4" fillId="5" borderId="0" xfId="0" applyFont="1" applyFill="1" applyAlignment="1">
      <alignment horizontal="center"/>
    </xf>
    <xf numFmtId="0" fontId="3" fillId="0" borderId="0" xfId="0" applyFont="1"/>
    <xf numFmtId="0" fontId="0" fillId="0" borderId="0" xfId="0" applyFont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vertical="center"/>
    </xf>
    <xf numFmtId="0" fontId="0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5" fillId="0" borderId="3" xfId="0" applyFont="1" applyBorder="1" applyAlignment="1" applyProtection="1">
      <alignment vertical="center" wrapText="1"/>
      <protection locked="0"/>
    </xf>
    <xf numFmtId="0" fontId="0" fillId="8" borderId="0" xfId="0" applyFont="1" applyFill="1" applyAlignment="1">
      <alignment horizontal="center" vertical="center"/>
    </xf>
    <xf numFmtId="0" fontId="5" fillId="0" borderId="0" xfId="0" applyFont="1" applyBorder="1" applyAlignment="1" applyProtection="1">
      <alignment vertical="center" wrapText="1"/>
      <protection locked="0"/>
    </xf>
    <xf numFmtId="0" fontId="3" fillId="0" borderId="0" xfId="0" applyFont="1" applyAlignment="1">
      <alignment horizontal="center" vertical="center"/>
    </xf>
    <xf numFmtId="0" fontId="3" fillId="0" borderId="0" xfId="52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49" applyFont="1" applyFill="1" applyAlignment="1">
      <alignment horizontal="center" vertical="center"/>
    </xf>
    <xf numFmtId="0" fontId="3" fillId="0" borderId="0" xfId="49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49" fontId="0" fillId="9" borderId="0" xfId="0" applyNumberFormat="1" applyFill="1"/>
    <xf numFmtId="0" fontId="0" fillId="0" borderId="0" xfId="0" applyNumberFormat="1"/>
    <xf numFmtId="0" fontId="3" fillId="0" borderId="0" xfId="0" applyNumberFormat="1" applyFont="1" applyAlignment="1"/>
    <xf numFmtId="49" fontId="0" fillId="0" borderId="0" xfId="0" applyNumberFormat="1"/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5" fillId="0" borderId="3" xfId="0" applyNumberFormat="1" applyFont="1" applyBorder="1" applyAlignment="1" applyProtection="1">
      <alignment vertical="center" wrapText="1"/>
      <protection locked="0"/>
    </xf>
    <xf numFmtId="49" fontId="3" fillId="8" borderId="0" xfId="0" applyNumberFormat="1" applyFont="1" applyFill="1" applyAlignment="1">
      <alignment horizontal="center" vertical="center"/>
    </xf>
    <xf numFmtId="49" fontId="5" fillId="0" borderId="0" xfId="0" applyNumberFormat="1" applyFont="1" applyBorder="1" applyAlignment="1" applyProtection="1">
      <alignment vertical="center" wrapText="1"/>
      <protection locked="0"/>
    </xf>
    <xf numFmtId="0" fontId="3" fillId="0" borderId="0" xfId="0" applyNumberFormat="1" applyFont="1" applyAlignment="1">
      <alignment horizontal="left"/>
    </xf>
    <xf numFmtId="0" fontId="4" fillId="10" borderId="1" xfId="53" applyNumberFormat="1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/>
    </xf>
    <xf numFmtId="49" fontId="3" fillId="0" borderId="0" xfId="0" applyNumberFormat="1" applyFont="1"/>
    <xf numFmtId="0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9" borderId="1" xfId="0" applyNumberFormat="1" applyFill="1" applyBorder="1" applyAlignment="1">
      <alignment horizontal="left"/>
    </xf>
    <xf numFmtId="49" fontId="0" fillId="9" borderId="1" xfId="0" applyNumberFormat="1" applyFill="1" applyBorder="1" applyAlignment="1">
      <alignment horizontal="left"/>
    </xf>
    <xf numFmtId="49" fontId="0" fillId="0" borderId="1" xfId="0" applyNumberFormat="1" applyBorder="1"/>
    <xf numFmtId="49" fontId="0" fillId="9" borderId="1" xfId="0" applyNumberFormat="1" applyFill="1" applyBorder="1"/>
    <xf numFmtId="0" fontId="3" fillId="0" borderId="1" xfId="0" applyNumberFormat="1" applyFont="1" applyBorder="1" applyAlignment="1"/>
    <xf numFmtId="0" fontId="3" fillId="11" borderId="1" xfId="53" applyNumberFormat="1" applyFont="1" applyFill="1" applyBorder="1" applyAlignment="1">
      <alignment vertical="center"/>
    </xf>
    <xf numFmtId="0" fontId="3" fillId="12" borderId="1" xfId="53" applyNumberFormat="1" applyFont="1" applyFill="1" applyBorder="1" applyAlignment="1">
      <alignment vertical="center"/>
    </xf>
    <xf numFmtId="0" fontId="6" fillId="13" borderId="1" xfId="53" applyNumberFormat="1" applyFont="1" applyFill="1" applyBorder="1" applyAlignment="1">
      <alignment vertical="center"/>
    </xf>
    <xf numFmtId="0" fontId="7" fillId="14" borderId="1" xfId="53" applyNumberFormat="1" applyFont="1" applyFill="1" applyBorder="1" applyAlignment="1">
      <alignment vertical="center"/>
    </xf>
    <xf numFmtId="0" fontId="7" fillId="15" borderId="1" xfId="53" applyNumberFormat="1" applyFont="1" applyFill="1" applyBorder="1" applyAlignment="1">
      <alignment vertical="center"/>
    </xf>
    <xf numFmtId="0" fontId="0" fillId="0" borderId="1" xfId="0" applyNumberFormat="1" applyBorder="1"/>
    <xf numFmtId="0" fontId="0" fillId="0" borderId="0" xfId="0" applyNumberFormat="1" applyAlignment="1">
      <alignment horizontal="left"/>
    </xf>
    <xf numFmtId="0" fontId="4" fillId="11" borderId="1" xfId="53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/>
    </xf>
    <xf numFmtId="0" fontId="4" fillId="15" borderId="1" xfId="53" applyNumberFormat="1" applyFont="1" applyFill="1" applyBorder="1" applyAlignment="1">
      <alignment horizontal="left" vertical="center"/>
    </xf>
    <xf numFmtId="0" fontId="4" fillId="16" borderId="1" xfId="53" applyNumberFormat="1" applyFont="1" applyFill="1" applyBorder="1" applyAlignment="1">
      <alignment horizontal="left" vertical="center"/>
    </xf>
    <xf numFmtId="49" fontId="3" fillId="0" borderId="1" xfId="0" applyNumberFormat="1" applyFont="1" applyBorder="1" applyAlignment="1">
      <alignment horizontal="left"/>
    </xf>
    <xf numFmtId="0" fontId="8" fillId="17" borderId="1" xfId="53" applyNumberFormat="1" applyFont="1" applyFill="1" applyBorder="1" applyAlignment="1">
      <alignment horizontal="left"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8" fillId="18" borderId="1" xfId="53" applyNumberFormat="1" applyFont="1" applyFill="1" applyBorder="1" applyAlignment="1">
      <alignment horizontal="left" vertical="center"/>
    </xf>
    <xf numFmtId="0" fontId="12" fillId="18" borderId="1" xfId="53" applyNumberFormat="1" applyFont="1" applyFill="1" applyBorder="1" applyAlignment="1">
      <alignment horizontal="left" vertical="center"/>
    </xf>
    <xf numFmtId="0" fontId="13" fillId="19" borderId="1" xfId="53" applyNumberFormat="1" applyFont="1" applyFill="1" applyBorder="1" applyAlignment="1">
      <alignment horizontal="left" vertical="center"/>
    </xf>
    <xf numFmtId="0" fontId="3" fillId="20" borderId="1" xfId="53" applyNumberFormat="1" applyFont="1" applyFill="1" applyBorder="1" applyAlignment="1">
      <alignment horizontal="left" vertical="center"/>
    </xf>
    <xf numFmtId="0" fontId="3" fillId="12" borderId="1" xfId="53" applyNumberFormat="1" applyFont="1" applyFill="1" applyBorder="1" applyAlignment="1">
      <alignment horizontal="left" vertical="center"/>
    </xf>
    <xf numFmtId="0" fontId="3" fillId="14" borderId="1" xfId="53" applyNumberFormat="1" applyFill="1" applyBorder="1" applyAlignment="1">
      <alignment horizontal="left" vertical="center"/>
    </xf>
    <xf numFmtId="0" fontId="3" fillId="10" borderId="1" xfId="53" applyNumberFormat="1" applyFill="1" applyBorder="1" applyAlignment="1">
      <alignment horizontal="left" vertical="center"/>
    </xf>
    <xf numFmtId="0" fontId="3" fillId="20" borderId="1" xfId="53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/>
    </xf>
    <xf numFmtId="0" fontId="3" fillId="12" borderId="1" xfId="53" applyNumberFormat="1" applyFill="1" applyBorder="1" applyAlignment="1">
      <alignment horizontal="left" vertical="center"/>
    </xf>
    <xf numFmtId="0" fontId="6" fillId="13" borderId="1" xfId="53" applyNumberFormat="1" applyFont="1" applyFill="1" applyBorder="1" applyAlignment="1">
      <alignment horizontal="left" vertical="center"/>
    </xf>
    <xf numFmtId="0" fontId="14" fillId="14" borderId="1" xfId="53" applyNumberFormat="1" applyFont="1" applyFill="1" applyBorder="1" applyAlignment="1">
      <alignment horizontal="left" vertical="center"/>
    </xf>
    <xf numFmtId="0" fontId="14" fillId="15" borderId="1" xfId="53" applyNumberFormat="1" applyFont="1" applyFill="1" applyBorder="1" applyAlignment="1">
      <alignment horizontal="left" vertical="center"/>
    </xf>
    <xf numFmtId="49" fontId="4" fillId="11" borderId="1" xfId="53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center"/>
    </xf>
    <xf numFmtId="49" fontId="0" fillId="8" borderId="0" xfId="0" applyNumberFormat="1" applyFill="1" applyAlignment="1">
      <alignment horizontal="center" vertical="center"/>
    </xf>
    <xf numFmtId="176" fontId="4" fillId="21" borderId="1" xfId="53" applyNumberFormat="1" applyFont="1" applyFill="1" applyBorder="1" applyAlignment="1">
      <alignment horizontal="left" vertical="center"/>
    </xf>
    <xf numFmtId="176" fontId="4" fillId="15" borderId="1" xfId="53" applyNumberFormat="1" applyFont="1" applyFill="1" applyBorder="1" applyAlignment="1">
      <alignment horizontal="left" vertical="center"/>
    </xf>
    <xf numFmtId="176" fontId="4" fillId="16" borderId="1" xfId="53" applyNumberFormat="1" applyFont="1" applyFill="1" applyBorder="1" applyAlignment="1">
      <alignment horizontal="left" vertical="center"/>
    </xf>
    <xf numFmtId="176" fontId="8" fillId="12" borderId="1" xfId="53" applyNumberFormat="1" applyFont="1" applyFill="1" applyBorder="1" applyAlignment="1">
      <alignment horizontal="left" vertical="center"/>
    </xf>
    <xf numFmtId="176" fontId="8" fillId="21" borderId="1" xfId="53" applyNumberFormat="1" applyFont="1" applyFill="1" applyBorder="1" applyAlignment="1">
      <alignment horizontal="left" vertical="center"/>
    </xf>
    <xf numFmtId="0" fontId="8" fillId="12" borderId="1" xfId="53" applyNumberFormat="1" applyFont="1" applyFill="1" applyBorder="1" applyAlignment="1">
      <alignment horizontal="left" vertical="center"/>
    </xf>
    <xf numFmtId="0" fontId="8" fillId="15" borderId="1" xfId="53" applyNumberFormat="1" applyFont="1" applyFill="1" applyBorder="1" applyAlignment="1">
      <alignment horizontal="left" vertical="center"/>
    </xf>
    <xf numFmtId="0" fontId="8" fillId="21" borderId="1" xfId="53" applyNumberFormat="1" applyFont="1" applyFill="1" applyBorder="1" applyAlignment="1">
      <alignment horizontal="left" vertical="center"/>
    </xf>
    <xf numFmtId="0" fontId="13" fillId="22" borderId="1" xfId="53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/>
    </xf>
    <xf numFmtId="0" fontId="0" fillId="0" borderId="1" xfId="0" applyNumberFormat="1" applyBorder="1" applyAlignment="1">
      <alignment horizontal="center"/>
    </xf>
    <xf numFmtId="0" fontId="3" fillId="11" borderId="1" xfId="53" applyNumberFormat="1" applyFill="1" applyBorder="1" applyAlignment="1">
      <alignment horizontal="left" vertical="center"/>
    </xf>
    <xf numFmtId="0" fontId="12" fillId="12" borderId="1" xfId="53" applyNumberFormat="1" applyFont="1" applyFill="1" applyBorder="1" applyAlignment="1">
      <alignment vertical="center"/>
    </xf>
    <xf numFmtId="0" fontId="12" fillId="15" borderId="1" xfId="53" applyNumberFormat="1" applyFont="1" applyFill="1" applyBorder="1" applyAlignment="1">
      <alignment vertical="center"/>
    </xf>
    <xf numFmtId="0" fontId="12" fillId="21" borderId="1" xfId="53" applyNumberFormat="1" applyFont="1" applyFill="1" applyBorder="1" applyAlignment="1">
      <alignment vertical="center"/>
    </xf>
    <xf numFmtId="0" fontId="12" fillId="17" borderId="1" xfId="53" applyNumberFormat="1" applyFont="1" applyFill="1" applyBorder="1" applyAlignment="1">
      <alignment vertical="center"/>
    </xf>
    <xf numFmtId="0" fontId="3" fillId="14" borderId="1" xfId="53" applyNumberFormat="1" applyFont="1" applyFill="1" applyBorder="1" applyAlignment="1">
      <alignment vertical="center"/>
    </xf>
    <xf numFmtId="0" fontId="12" fillId="17" borderId="4" xfId="53" applyNumberFormat="1" applyFont="1" applyFill="1" applyBorder="1" applyAlignment="1">
      <alignment vertical="center"/>
    </xf>
    <xf numFmtId="0" fontId="3" fillId="20" borderId="1" xfId="53" applyNumberFormat="1" applyFont="1" applyFill="1" applyBorder="1" applyAlignment="1">
      <alignment vertical="center"/>
    </xf>
    <xf numFmtId="0" fontId="3" fillId="10" borderId="1" xfId="53" applyNumberFormat="1" applyFont="1" applyFill="1" applyBorder="1" applyAlignment="1">
      <alignment vertical="center"/>
    </xf>
    <xf numFmtId="0" fontId="3" fillId="9" borderId="1" xfId="0" applyNumberFormat="1" applyFont="1" applyFill="1" applyBorder="1" applyAlignment="1"/>
    <xf numFmtId="0" fontId="3" fillId="0" borderId="1" xfId="0" applyNumberFormat="1" applyFont="1" applyBorder="1" applyAlignment="1">
      <alignment horizontal="center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2" xfId="50"/>
    <cellStyle name="常规 3" xfId="51"/>
    <cellStyle name="常规 4" xfId="52"/>
    <cellStyle name="常规 5" xfId="53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85725</xdr:colOff>
      <xdr:row>1</xdr:row>
      <xdr:rowOff>66675</xdr:rowOff>
    </xdr:from>
    <xdr:to>
      <xdr:col>0</xdr:col>
      <xdr:colOff>1343025</xdr:colOff>
      <xdr:row>12</xdr:row>
      <xdr:rowOff>152400</xdr:rowOff>
    </xdr:to>
    <xdr:sp>
      <xdr:nvSpPr>
        <xdr:cNvPr id="2" name="TextBox 1"/>
        <xdr:cNvSpPr txBox="1"/>
      </xdr:nvSpPr>
      <xdr:spPr>
        <a:xfrm>
          <a:off x="85725" y="251460"/>
          <a:ext cx="1165860" cy="20231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rgbClr val="FF0000"/>
              </a:solidFill>
            </a:rPr>
            <a:t>红格</a:t>
          </a:r>
          <a:r>
            <a:rPr lang="zh-CN" altLang="en-US" sz="1100"/>
            <a:t>：项目数</a:t>
          </a:r>
          <a:endParaRPr lang="zh-CN" altLang="en-US" sz="1100"/>
        </a:p>
        <a:p>
          <a:r>
            <a:rPr lang="zh-CN" altLang="en-US" sz="1100">
              <a:solidFill>
                <a:srgbClr val="7030A0"/>
              </a:solidFill>
            </a:rPr>
            <a:t>紫格</a:t>
          </a:r>
          <a:r>
            <a:rPr lang="zh-CN" altLang="en-US" sz="1100"/>
            <a:t>：物编类型</a:t>
          </a:r>
          <a:endParaRPr lang="zh-CN" altLang="en-US" sz="1100"/>
        </a:p>
        <a:p>
          <a:r>
            <a:rPr lang="zh-CN" altLang="en-US" sz="1100"/>
            <a:t>值填写</a:t>
          </a:r>
          <a:r>
            <a:rPr lang="en-US" altLang="zh-CN" sz="1100"/>
            <a:t>#</a:t>
          </a:r>
          <a:r>
            <a:rPr lang="zh-CN" altLang="en-US" sz="1100"/>
            <a:t>或者无表示空值</a:t>
          </a:r>
          <a:endParaRPr lang="zh-CN" altLang="en-US" sz="1100"/>
        </a:p>
        <a:p>
          <a:r>
            <a:rPr lang="zh-CN" altLang="en-US" sz="1100"/>
            <a:t>值留空则是不对源模板内容改变</a:t>
          </a:r>
          <a:endParaRPr lang="zh-CN" altLang="en-US" sz="1100"/>
        </a:p>
        <a:p>
          <a:endParaRPr lang="zh-CN" altLang="en-US" sz="1100"/>
        </a:p>
        <a:p>
          <a:r>
            <a:rPr lang="en-US" altLang="zh-CN" sz="1100"/>
            <a:t>By:</a:t>
          </a:r>
          <a:r>
            <a:rPr lang="zh-CN" altLang="en-US" sz="1100"/>
            <a:t>雪月灬雪歌</a:t>
          </a:r>
          <a:endParaRPr lang="zh-CN" altLang="en-US" sz="1100"/>
        </a:p>
        <a:p>
          <a:endParaRPr lang="zh-CN" altLang="en-US" sz="1100"/>
        </a:p>
        <a:p>
          <a:r>
            <a:rPr lang="zh-CN" altLang="en-US" sz="1100"/>
            <a:t>群</a:t>
          </a:r>
          <a:r>
            <a:rPr lang="en-US" altLang="zh-CN" sz="1100"/>
            <a:t>:659453611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13</xdr:row>
          <xdr:rowOff>66675</xdr:rowOff>
        </xdr:from>
        <xdr:to>
          <xdr:col>0</xdr:col>
          <xdr:colOff>1362075</xdr:colOff>
          <xdr:row>17</xdr:row>
          <xdr:rowOff>114300</xdr:rowOff>
        </xdr:to>
        <xdr:sp macro="[0]!XG_Unit_Compile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8575" y="2364105"/>
              <a:ext cx="1223010" cy="74866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点击生成lua物编</a:t>
              </a:r>
              <a:endParaRPr lang="zh-CN" altLang="en-US" sz="1400" b="1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85725</xdr:colOff>
      <xdr:row>1</xdr:row>
      <xdr:rowOff>66675</xdr:rowOff>
    </xdr:from>
    <xdr:to>
      <xdr:col>0</xdr:col>
      <xdr:colOff>1343025</xdr:colOff>
      <xdr:row>12</xdr:row>
      <xdr:rowOff>152400</xdr:rowOff>
    </xdr:to>
    <xdr:sp>
      <xdr:nvSpPr>
        <xdr:cNvPr id="2" name="TextBox 1"/>
        <xdr:cNvSpPr txBox="1"/>
      </xdr:nvSpPr>
      <xdr:spPr>
        <a:xfrm>
          <a:off x="85725" y="251460"/>
          <a:ext cx="1165860" cy="20231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rgbClr val="FF0000"/>
              </a:solidFill>
            </a:rPr>
            <a:t>红格</a:t>
          </a:r>
          <a:r>
            <a:rPr lang="zh-CN" altLang="en-US" sz="1100"/>
            <a:t>：项目数</a:t>
          </a:r>
          <a:endParaRPr lang="zh-CN" altLang="en-US" sz="1100"/>
        </a:p>
        <a:p>
          <a:r>
            <a:rPr lang="zh-CN" altLang="en-US" sz="1100">
              <a:solidFill>
                <a:srgbClr val="7030A0"/>
              </a:solidFill>
            </a:rPr>
            <a:t>紫格</a:t>
          </a:r>
          <a:r>
            <a:rPr lang="zh-CN" altLang="en-US" sz="1100"/>
            <a:t>：物编类型</a:t>
          </a:r>
          <a:endParaRPr lang="zh-CN" altLang="en-US" sz="1100"/>
        </a:p>
        <a:p>
          <a:r>
            <a:rPr lang="zh-CN" altLang="en-US" sz="1100"/>
            <a:t>值填写</a:t>
          </a:r>
          <a:r>
            <a:rPr lang="en-US" altLang="zh-CN" sz="1100"/>
            <a:t>#</a:t>
          </a:r>
          <a:r>
            <a:rPr lang="zh-CN" altLang="en-US" sz="1100"/>
            <a:t>或者无表示空值</a:t>
          </a:r>
          <a:endParaRPr lang="zh-CN" altLang="en-US" sz="1100"/>
        </a:p>
        <a:p>
          <a:r>
            <a:rPr lang="zh-CN" altLang="en-US" sz="1100"/>
            <a:t>值留空则是不对源模板内容改变</a:t>
          </a:r>
          <a:endParaRPr lang="zh-CN" altLang="en-US" sz="1100"/>
        </a:p>
        <a:p>
          <a:endParaRPr lang="zh-CN" altLang="en-US" sz="1100"/>
        </a:p>
        <a:p>
          <a:r>
            <a:rPr lang="en-US" altLang="zh-CN" sz="1100"/>
            <a:t>By:</a:t>
          </a:r>
          <a:r>
            <a:rPr lang="zh-CN" altLang="en-US" sz="1100"/>
            <a:t>雪月灬雪歌</a:t>
          </a:r>
          <a:endParaRPr lang="zh-CN" altLang="en-US" sz="1100"/>
        </a:p>
        <a:p>
          <a:endParaRPr lang="zh-CN" altLang="en-US" sz="1100"/>
        </a:p>
        <a:p>
          <a:r>
            <a:rPr lang="zh-CN" altLang="en-US" sz="1100"/>
            <a:t>群</a:t>
          </a:r>
          <a:r>
            <a:rPr lang="en-US" altLang="zh-CN" sz="1100"/>
            <a:t>:659453611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13</xdr:row>
          <xdr:rowOff>66675</xdr:rowOff>
        </xdr:from>
        <xdr:to>
          <xdr:col>0</xdr:col>
          <xdr:colOff>1362075</xdr:colOff>
          <xdr:row>17</xdr:row>
          <xdr:rowOff>114300</xdr:rowOff>
        </xdr:to>
        <xdr:sp macro="[0]!XG_Unit_Compile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28575" y="2364105"/>
              <a:ext cx="1223010" cy="74866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点击生成lua物编</a:t>
              </a:r>
              <a:endParaRPr lang="zh-CN" altLang="en-US" sz="1400" b="1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85725</xdr:colOff>
      <xdr:row>1</xdr:row>
      <xdr:rowOff>66675</xdr:rowOff>
    </xdr:from>
    <xdr:to>
      <xdr:col>0</xdr:col>
      <xdr:colOff>1343025</xdr:colOff>
      <xdr:row>12</xdr:row>
      <xdr:rowOff>152400</xdr:rowOff>
    </xdr:to>
    <xdr:sp>
      <xdr:nvSpPr>
        <xdr:cNvPr id="2" name="TextBox 1"/>
        <xdr:cNvSpPr txBox="1"/>
      </xdr:nvSpPr>
      <xdr:spPr>
        <a:xfrm>
          <a:off x="85725" y="251460"/>
          <a:ext cx="1165860" cy="20231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rgbClr val="FF0000"/>
              </a:solidFill>
            </a:rPr>
            <a:t>红格</a:t>
          </a:r>
          <a:r>
            <a:rPr lang="zh-CN" altLang="en-US" sz="1100"/>
            <a:t>：项目数</a:t>
          </a:r>
          <a:endParaRPr lang="zh-CN" altLang="en-US" sz="1100"/>
        </a:p>
        <a:p>
          <a:r>
            <a:rPr lang="zh-CN" altLang="en-US" sz="1100">
              <a:solidFill>
                <a:srgbClr val="7030A0"/>
              </a:solidFill>
            </a:rPr>
            <a:t>紫格</a:t>
          </a:r>
          <a:r>
            <a:rPr lang="zh-CN" altLang="en-US" sz="1100"/>
            <a:t>：物编类型</a:t>
          </a:r>
          <a:endParaRPr lang="zh-CN" altLang="en-US" sz="1100"/>
        </a:p>
        <a:p>
          <a:r>
            <a:rPr lang="zh-CN" altLang="en-US" sz="1100"/>
            <a:t>值填写</a:t>
          </a:r>
          <a:r>
            <a:rPr lang="en-US" altLang="zh-CN" sz="1100"/>
            <a:t>#</a:t>
          </a:r>
          <a:r>
            <a:rPr lang="zh-CN" altLang="en-US" sz="1100"/>
            <a:t>或者无表示空值</a:t>
          </a:r>
          <a:endParaRPr lang="zh-CN" altLang="en-US" sz="1100"/>
        </a:p>
        <a:p>
          <a:r>
            <a:rPr lang="zh-CN" altLang="en-US" sz="1100"/>
            <a:t>值留空则是不对源模板内容改变</a:t>
          </a:r>
          <a:endParaRPr lang="zh-CN" altLang="en-US" sz="1100"/>
        </a:p>
        <a:p>
          <a:endParaRPr lang="zh-CN" altLang="en-US" sz="1100"/>
        </a:p>
        <a:p>
          <a:r>
            <a:rPr lang="en-US" altLang="zh-CN" sz="1100"/>
            <a:t>By:</a:t>
          </a:r>
          <a:r>
            <a:rPr lang="zh-CN" altLang="en-US" sz="1100"/>
            <a:t>雪月灬雪歌</a:t>
          </a:r>
          <a:endParaRPr lang="zh-CN" altLang="en-US" sz="1100"/>
        </a:p>
        <a:p>
          <a:endParaRPr lang="zh-CN" altLang="en-US" sz="1100"/>
        </a:p>
        <a:p>
          <a:r>
            <a:rPr lang="zh-CN" altLang="en-US" sz="1100"/>
            <a:t>群</a:t>
          </a:r>
          <a:r>
            <a:rPr lang="en-US" altLang="zh-CN" sz="1100"/>
            <a:t>:659453611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13</xdr:row>
          <xdr:rowOff>66675</xdr:rowOff>
        </xdr:from>
        <xdr:to>
          <xdr:col>0</xdr:col>
          <xdr:colOff>1362075</xdr:colOff>
          <xdr:row>17</xdr:row>
          <xdr:rowOff>114300</xdr:rowOff>
        </xdr:to>
        <xdr:sp macro="[0]!XG_Unit_Compile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28575" y="2364105"/>
              <a:ext cx="1223010" cy="74866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点击生成lua物编</a:t>
              </a:r>
              <a:endParaRPr lang="zh-CN" altLang="en-US" sz="1400" b="1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104776</xdr:colOff>
      <xdr:row>1</xdr:row>
      <xdr:rowOff>57149</xdr:rowOff>
    </xdr:from>
    <xdr:to>
      <xdr:col>0</xdr:col>
      <xdr:colOff>1362076</xdr:colOff>
      <xdr:row>11</xdr:row>
      <xdr:rowOff>142874</xdr:rowOff>
    </xdr:to>
    <xdr:sp>
      <xdr:nvSpPr>
        <xdr:cNvPr id="2" name="TextBox 1"/>
        <xdr:cNvSpPr txBox="1"/>
      </xdr:nvSpPr>
      <xdr:spPr>
        <a:xfrm>
          <a:off x="104775" y="261620"/>
          <a:ext cx="1163955" cy="213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rgbClr val="FF0000"/>
              </a:solidFill>
            </a:rPr>
            <a:t>红格</a:t>
          </a:r>
          <a:r>
            <a:rPr lang="zh-CN" altLang="en-US" sz="1100"/>
            <a:t>：项目数</a:t>
          </a:r>
          <a:endParaRPr lang="zh-CN" altLang="en-US" sz="1100"/>
        </a:p>
        <a:p>
          <a:r>
            <a:rPr lang="zh-CN" altLang="en-US" sz="1100">
              <a:solidFill>
                <a:srgbClr val="7030A0"/>
              </a:solidFill>
            </a:rPr>
            <a:t>紫格</a:t>
          </a:r>
          <a:r>
            <a:rPr lang="zh-CN" altLang="en-US" sz="1100"/>
            <a:t>：物编类型</a:t>
          </a:r>
          <a:endParaRPr lang="zh-CN" altLang="en-US" sz="1100"/>
        </a:p>
        <a:p>
          <a:r>
            <a:rPr lang="zh-CN" altLang="en-US" sz="1100"/>
            <a:t>值填写</a:t>
          </a:r>
          <a:r>
            <a:rPr lang="en-US" altLang="zh-CN" sz="1100"/>
            <a:t>#</a:t>
          </a:r>
          <a:r>
            <a:rPr lang="zh-CN" altLang="en-US" sz="1100"/>
            <a:t>或者无表示空值</a:t>
          </a:r>
          <a:endParaRPr lang="zh-CN" altLang="en-US" sz="1100"/>
        </a:p>
        <a:p>
          <a:r>
            <a:rPr lang="zh-CN" altLang="en-US" sz="1100"/>
            <a:t>值留空则是不对源模板内容改变</a:t>
          </a:r>
          <a:endParaRPr lang="zh-CN" altLang="en-US" sz="1100"/>
        </a:p>
        <a:p>
          <a:endParaRPr lang="zh-CN" altLang="en-US" sz="1100"/>
        </a:p>
        <a:p>
          <a:r>
            <a:rPr lang="en-US" altLang="zh-CN" sz="1100"/>
            <a:t>By:</a:t>
          </a:r>
          <a:r>
            <a:rPr lang="zh-CN" altLang="en-US" sz="1100"/>
            <a:t>雪月灬雪歌</a:t>
          </a:r>
          <a:endParaRPr lang="zh-CN" altLang="en-US" sz="1100"/>
        </a:p>
        <a:p>
          <a:endParaRPr lang="zh-CN" altLang="en-US" sz="1100"/>
        </a:p>
        <a:p>
          <a:r>
            <a:rPr lang="zh-CN" altLang="en-US" sz="1100"/>
            <a:t>群</a:t>
          </a:r>
          <a:r>
            <a:rPr lang="en-US" altLang="zh-CN" sz="1100"/>
            <a:t>:659453611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12</xdr:row>
          <xdr:rowOff>38100</xdr:rowOff>
        </xdr:from>
        <xdr:to>
          <xdr:col>0</xdr:col>
          <xdr:colOff>1362075</xdr:colOff>
          <xdr:row>16</xdr:row>
          <xdr:rowOff>9525</xdr:rowOff>
        </xdr:to>
        <xdr:sp macro="[0]!XG_Unit_Compile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575" y="2499360"/>
              <a:ext cx="1240155" cy="7918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点击生成lua物编</a:t>
              </a:r>
              <a:endParaRPr lang="zh-CN" altLang="en-US" sz="1400" b="1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193"/>
  <sheetViews>
    <sheetView workbookViewId="0">
      <selection activeCell="A1" sqref="A1"/>
    </sheetView>
  </sheetViews>
  <sheetFormatPr defaultColWidth="9" defaultRowHeight="13.8"/>
  <cols>
    <col min="1" max="1" width="18.25" style="37" customWidth="1"/>
    <col min="2" max="2" width="9" style="37"/>
    <col min="3" max="3" width="24.6296296296296" style="37" customWidth="1"/>
    <col min="4" max="4" width="22.1296296296296" style="37" customWidth="1"/>
    <col min="5" max="5" width="9" style="37"/>
    <col min="6" max="6" width="14.3796296296296" style="37" customWidth="1"/>
    <col min="7" max="9" width="9" style="37"/>
    <col min="10" max="10" width="13.5" style="37" customWidth="1"/>
    <col min="11" max="11" width="9" style="37"/>
    <col min="12" max="12" width="9.62962962962963" style="37" customWidth="1"/>
    <col min="13" max="13" width="11.75" style="37" customWidth="1"/>
    <col min="14" max="14" width="9" style="87"/>
    <col min="15" max="16384" width="9" style="37"/>
  </cols>
  <sheetData>
    <row r="1" ht="14.55" spans="1:18">
      <c r="A1" s="38" t="s">
        <v>0</v>
      </c>
      <c r="B1" s="39" t="s">
        <v>1</v>
      </c>
      <c r="C1" s="39" t="s">
        <v>2</v>
      </c>
      <c r="D1" s="39" t="s">
        <v>3</v>
      </c>
      <c r="E1" s="39" t="s">
        <v>4</v>
      </c>
      <c r="F1" s="39" t="s">
        <v>5</v>
      </c>
      <c r="G1" s="39" t="s">
        <v>6</v>
      </c>
      <c r="H1" s="39" t="s">
        <v>7</v>
      </c>
      <c r="I1" s="40" t="s">
        <v>8</v>
      </c>
      <c r="J1" s="40" t="s">
        <v>9</v>
      </c>
      <c r="K1" s="40" t="s">
        <v>10</v>
      </c>
      <c r="L1" s="40" t="s">
        <v>11</v>
      </c>
      <c r="M1" s="40" t="s">
        <v>12</v>
      </c>
      <c r="N1" s="98" t="s">
        <v>13</v>
      </c>
      <c r="O1" s="47" t="s">
        <v>14</v>
      </c>
      <c r="P1" s="47" t="s">
        <v>15</v>
      </c>
      <c r="Q1" s="47" t="s">
        <v>16</v>
      </c>
      <c r="R1" s="47" t="s">
        <v>17</v>
      </c>
    </row>
    <row r="2" ht="14.55" spans="1:18">
      <c r="A2" s="41"/>
      <c r="B2" s="88" t="s">
        <v>18</v>
      </c>
      <c r="C2" s="39" t="s">
        <v>19</v>
      </c>
      <c r="D2" s="40" t="s">
        <v>20</v>
      </c>
      <c r="E2" s="40" t="s">
        <v>21</v>
      </c>
      <c r="F2" s="39" t="s">
        <v>22</v>
      </c>
      <c r="G2" s="39" t="s">
        <v>23</v>
      </c>
      <c r="H2" s="39" t="s">
        <v>24</v>
      </c>
      <c r="I2" s="40" t="s">
        <v>25</v>
      </c>
      <c r="J2" s="40" t="s">
        <v>26</v>
      </c>
      <c r="K2" s="40" t="s">
        <v>27</v>
      </c>
      <c r="L2" s="40" t="s">
        <v>28</v>
      </c>
      <c r="M2" s="40" t="s">
        <v>29</v>
      </c>
      <c r="N2" s="98" t="s">
        <v>30</v>
      </c>
      <c r="O2" s="47" t="s">
        <v>31</v>
      </c>
      <c r="P2" s="47" t="s">
        <v>32</v>
      </c>
      <c r="Q2" s="47" t="s">
        <v>33</v>
      </c>
      <c r="R2" s="47" t="s">
        <v>34</v>
      </c>
    </row>
    <row r="3" spans="1:22">
      <c r="A3" s="43"/>
      <c r="B3" s="44" t="s">
        <v>35</v>
      </c>
      <c r="C3" s="45" t="str">
        <f>辅助表格!C36&amp;"近战"</f>
        <v>第1波近战</v>
      </c>
      <c r="D3" s="89">
        <f>辅助表格!F36</f>
        <v>25</v>
      </c>
      <c r="E3" s="90">
        <f>D3/400</f>
        <v>0.0625</v>
      </c>
      <c r="F3" s="91">
        <f>辅助表格!D36</f>
        <v>100</v>
      </c>
      <c r="G3" s="48">
        <v>1</v>
      </c>
      <c r="H3" s="46" t="s">
        <v>36</v>
      </c>
      <c r="I3" s="46">
        <v>100</v>
      </c>
      <c r="J3" s="46">
        <v>20000</v>
      </c>
      <c r="K3" s="48" t="s">
        <v>37</v>
      </c>
      <c r="L3" s="48">
        <v>0</v>
      </c>
      <c r="M3" s="48">
        <v>1</v>
      </c>
      <c r="N3" s="99">
        <v>1</v>
      </c>
      <c r="O3" s="46" t="s">
        <v>38</v>
      </c>
      <c r="P3" s="68" t="s">
        <v>39</v>
      </c>
      <c r="Q3" s="68" t="s">
        <v>38</v>
      </c>
      <c r="R3" s="68" t="s">
        <v>36</v>
      </c>
      <c r="S3" s="49"/>
      <c r="T3" s="49"/>
      <c r="U3" s="49"/>
      <c r="V3" s="52"/>
    </row>
    <row r="4" spans="1:22">
      <c r="A4" s="43"/>
      <c r="B4" s="44" t="s">
        <v>35</v>
      </c>
      <c r="C4" s="45" t="str">
        <f>辅助表格!C37&amp;"近战"</f>
        <v>第2波近战</v>
      </c>
      <c r="D4" s="89">
        <f>辅助表格!F37</f>
        <v>35</v>
      </c>
      <c r="E4" s="90">
        <f t="shared" ref="E4:E27" si="0">D4/400</f>
        <v>0.0875</v>
      </c>
      <c r="F4" s="91">
        <f>辅助表格!D37</f>
        <v>140</v>
      </c>
      <c r="G4" s="48">
        <v>1</v>
      </c>
      <c r="H4" s="46" t="s">
        <v>36</v>
      </c>
      <c r="I4" s="46">
        <v>100</v>
      </c>
      <c r="J4" s="46">
        <v>20000</v>
      </c>
      <c r="K4" s="48" t="s">
        <v>37</v>
      </c>
      <c r="L4" s="48">
        <v>0</v>
      </c>
      <c r="M4" s="48">
        <v>1</v>
      </c>
      <c r="N4" s="99">
        <v>2</v>
      </c>
      <c r="O4" s="46" t="s">
        <v>38</v>
      </c>
      <c r="P4" s="68" t="s">
        <v>39</v>
      </c>
      <c r="Q4" s="68" t="s">
        <v>38</v>
      </c>
      <c r="R4" s="68" t="s">
        <v>36</v>
      </c>
      <c r="S4" s="49"/>
      <c r="T4" s="49"/>
      <c r="U4" s="49"/>
      <c r="V4" s="52"/>
    </row>
    <row r="5" spans="2:22">
      <c r="B5" s="44" t="s">
        <v>35</v>
      </c>
      <c r="C5" s="45" t="str">
        <f>辅助表格!C38&amp;"近战"</f>
        <v>第3波近战</v>
      </c>
      <c r="D5" s="89">
        <f>辅助表格!F38</f>
        <v>49</v>
      </c>
      <c r="E5" s="90">
        <f t="shared" si="0"/>
        <v>0.1225</v>
      </c>
      <c r="F5" s="91">
        <f>辅助表格!D38</f>
        <v>196</v>
      </c>
      <c r="G5" s="48">
        <v>1</v>
      </c>
      <c r="H5" s="46" t="s">
        <v>36</v>
      </c>
      <c r="I5" s="46">
        <v>100</v>
      </c>
      <c r="J5" s="46">
        <v>20000</v>
      </c>
      <c r="K5" s="48" t="s">
        <v>37</v>
      </c>
      <c r="L5" s="48">
        <v>0</v>
      </c>
      <c r="M5" s="48">
        <v>1</v>
      </c>
      <c r="N5" s="99">
        <v>3</v>
      </c>
      <c r="O5" s="46" t="s">
        <v>38</v>
      </c>
      <c r="P5" s="68" t="s">
        <v>39</v>
      </c>
      <c r="Q5" s="68" t="s">
        <v>38</v>
      </c>
      <c r="R5" s="68" t="s">
        <v>36</v>
      </c>
      <c r="S5" s="49"/>
      <c r="T5" s="49"/>
      <c r="U5" s="49"/>
      <c r="V5" s="52"/>
    </row>
    <row r="6" spans="2:22">
      <c r="B6" s="44" t="s">
        <v>35</v>
      </c>
      <c r="C6" s="45" t="str">
        <f>辅助表格!C39&amp;"近战"</f>
        <v>第4波近战</v>
      </c>
      <c r="D6" s="89">
        <f>辅助表格!F39</f>
        <v>68.6</v>
      </c>
      <c r="E6" s="90">
        <f t="shared" si="0"/>
        <v>0.1715</v>
      </c>
      <c r="F6" s="91">
        <f>辅助表格!D39</f>
        <v>274.4</v>
      </c>
      <c r="G6" s="48">
        <v>1</v>
      </c>
      <c r="H6" s="46" t="s">
        <v>36</v>
      </c>
      <c r="I6" s="46">
        <v>100</v>
      </c>
      <c r="J6" s="46">
        <v>20000</v>
      </c>
      <c r="K6" s="48" t="s">
        <v>37</v>
      </c>
      <c r="L6" s="48">
        <v>0</v>
      </c>
      <c r="M6" s="48">
        <v>1</v>
      </c>
      <c r="N6" s="99">
        <v>4</v>
      </c>
      <c r="O6" s="46" t="s">
        <v>38</v>
      </c>
      <c r="P6" s="68" t="s">
        <v>39</v>
      </c>
      <c r="Q6" s="68" t="s">
        <v>38</v>
      </c>
      <c r="R6" s="68" t="s">
        <v>36</v>
      </c>
      <c r="S6" s="49"/>
      <c r="T6" s="49"/>
      <c r="U6" s="49"/>
      <c r="V6" s="52"/>
    </row>
    <row r="7" spans="2:22">
      <c r="B7" s="44" t="s">
        <v>35</v>
      </c>
      <c r="C7" s="45" t="str">
        <f>辅助表格!C40&amp;"近战"</f>
        <v>第5波近战</v>
      </c>
      <c r="D7" s="89">
        <f>辅助表格!F40</f>
        <v>96.04</v>
      </c>
      <c r="E7" s="90">
        <f t="shared" si="0"/>
        <v>0.2401</v>
      </c>
      <c r="F7" s="91">
        <f>辅助表格!D40</f>
        <v>384.16</v>
      </c>
      <c r="G7" s="48">
        <v>1</v>
      </c>
      <c r="H7" s="46" t="s">
        <v>36</v>
      </c>
      <c r="I7" s="46">
        <v>100</v>
      </c>
      <c r="J7" s="46">
        <v>20000</v>
      </c>
      <c r="K7" s="48" t="s">
        <v>37</v>
      </c>
      <c r="L7" s="48">
        <v>0</v>
      </c>
      <c r="M7" s="48">
        <v>1</v>
      </c>
      <c r="N7" s="99">
        <v>5</v>
      </c>
      <c r="O7" s="46" t="s">
        <v>38</v>
      </c>
      <c r="P7" s="68" t="s">
        <v>39</v>
      </c>
      <c r="Q7" s="68" t="s">
        <v>38</v>
      </c>
      <c r="R7" s="68" t="s">
        <v>36</v>
      </c>
      <c r="S7" s="49"/>
      <c r="T7" s="49"/>
      <c r="U7" s="49"/>
      <c r="V7" s="52"/>
    </row>
    <row r="8" spans="2:22">
      <c r="B8" s="44" t="s">
        <v>35</v>
      </c>
      <c r="C8" s="45" t="str">
        <f>辅助表格!C41&amp;"近战"</f>
        <v>第6波近战</v>
      </c>
      <c r="D8" s="89">
        <f>辅助表格!F41</f>
        <v>134.456</v>
      </c>
      <c r="E8" s="90">
        <f t="shared" si="0"/>
        <v>0.33614</v>
      </c>
      <c r="F8" s="91">
        <f>辅助表格!D41</f>
        <v>537.824</v>
      </c>
      <c r="G8" s="48">
        <v>1</v>
      </c>
      <c r="H8" s="46" t="s">
        <v>36</v>
      </c>
      <c r="I8" s="46">
        <v>100</v>
      </c>
      <c r="J8" s="46">
        <v>20000</v>
      </c>
      <c r="K8" s="48" t="s">
        <v>37</v>
      </c>
      <c r="L8" s="48">
        <v>0</v>
      </c>
      <c r="M8" s="48">
        <v>1</v>
      </c>
      <c r="N8" s="99">
        <v>6</v>
      </c>
      <c r="O8" s="46" t="s">
        <v>38</v>
      </c>
      <c r="P8" s="68" t="s">
        <v>39</v>
      </c>
      <c r="Q8" s="68" t="s">
        <v>38</v>
      </c>
      <c r="R8" s="68" t="s">
        <v>36</v>
      </c>
      <c r="S8" s="49"/>
      <c r="T8" s="49"/>
      <c r="U8" s="49"/>
      <c r="V8" s="52"/>
    </row>
    <row r="9" spans="2:22">
      <c r="B9" s="44" t="s">
        <v>35</v>
      </c>
      <c r="C9" s="45" t="str">
        <f>辅助表格!C42&amp;"近战"</f>
        <v>第7波近战</v>
      </c>
      <c r="D9" s="89">
        <f>辅助表格!F42</f>
        <v>188.2384</v>
      </c>
      <c r="E9" s="90">
        <f t="shared" si="0"/>
        <v>0.470596</v>
      </c>
      <c r="F9" s="91">
        <f>辅助表格!D42</f>
        <v>752.9536</v>
      </c>
      <c r="G9" s="48">
        <v>1</v>
      </c>
      <c r="H9" s="46" t="s">
        <v>36</v>
      </c>
      <c r="I9" s="46">
        <v>100</v>
      </c>
      <c r="J9" s="46">
        <v>20000</v>
      </c>
      <c r="K9" s="48" t="s">
        <v>37</v>
      </c>
      <c r="L9" s="48">
        <v>0</v>
      </c>
      <c r="M9" s="48">
        <v>1</v>
      </c>
      <c r="N9" s="99">
        <v>7</v>
      </c>
      <c r="O9" s="46" t="s">
        <v>38</v>
      </c>
      <c r="P9" s="68" t="s">
        <v>39</v>
      </c>
      <c r="Q9" s="68" t="s">
        <v>38</v>
      </c>
      <c r="R9" s="68" t="s">
        <v>36</v>
      </c>
      <c r="S9" s="49"/>
      <c r="T9" s="49"/>
      <c r="U9" s="49"/>
      <c r="V9" s="52"/>
    </row>
    <row r="10" spans="2:22">
      <c r="B10" s="44" t="s">
        <v>35</v>
      </c>
      <c r="C10" s="45" t="str">
        <f>辅助表格!C43&amp;"近战"</f>
        <v>第8波近战</v>
      </c>
      <c r="D10" s="89">
        <f>辅助表格!F43</f>
        <v>263.53376</v>
      </c>
      <c r="E10" s="90">
        <f t="shared" si="0"/>
        <v>0.6588344</v>
      </c>
      <c r="F10" s="91">
        <f>辅助表格!D43</f>
        <v>1054.13504</v>
      </c>
      <c r="G10" s="48">
        <v>1</v>
      </c>
      <c r="H10" s="46" t="s">
        <v>36</v>
      </c>
      <c r="I10" s="46">
        <v>100</v>
      </c>
      <c r="J10" s="46">
        <v>20000</v>
      </c>
      <c r="K10" s="48" t="s">
        <v>37</v>
      </c>
      <c r="L10" s="48">
        <v>0</v>
      </c>
      <c r="M10" s="48">
        <v>1</v>
      </c>
      <c r="N10" s="99">
        <v>8</v>
      </c>
      <c r="O10" s="46" t="s">
        <v>38</v>
      </c>
      <c r="P10" s="68" t="s">
        <v>39</v>
      </c>
      <c r="Q10" s="68" t="s">
        <v>38</v>
      </c>
      <c r="R10" s="68" t="s">
        <v>36</v>
      </c>
      <c r="S10" s="49"/>
      <c r="T10" s="49"/>
      <c r="U10" s="49"/>
      <c r="V10" s="52"/>
    </row>
    <row r="11" spans="2:22">
      <c r="B11" s="44" t="s">
        <v>35</v>
      </c>
      <c r="C11" s="45" t="str">
        <f>辅助表格!C44&amp;"近战"</f>
        <v>第9波近战</v>
      </c>
      <c r="D11" s="89">
        <f>辅助表格!F44</f>
        <v>368.947264</v>
      </c>
      <c r="E11" s="90">
        <f t="shared" si="0"/>
        <v>0.92236816</v>
      </c>
      <c r="F11" s="91">
        <f>辅助表格!D44</f>
        <v>1475.789056</v>
      </c>
      <c r="G11" s="48">
        <v>1</v>
      </c>
      <c r="H11" s="46" t="s">
        <v>36</v>
      </c>
      <c r="I11" s="46">
        <v>100</v>
      </c>
      <c r="J11" s="46">
        <v>20000</v>
      </c>
      <c r="K11" s="48" t="s">
        <v>37</v>
      </c>
      <c r="L11" s="48">
        <v>0</v>
      </c>
      <c r="M11" s="48">
        <v>1</v>
      </c>
      <c r="N11" s="99">
        <v>9</v>
      </c>
      <c r="O11" s="46" t="s">
        <v>38</v>
      </c>
      <c r="P11" s="68" t="s">
        <v>39</v>
      </c>
      <c r="Q11" s="68" t="s">
        <v>38</v>
      </c>
      <c r="R11" s="68" t="s">
        <v>36</v>
      </c>
      <c r="S11" s="49"/>
      <c r="T11" s="49"/>
      <c r="U11" s="49"/>
      <c r="V11" s="52"/>
    </row>
    <row r="12" spans="2:22">
      <c r="B12" s="44" t="s">
        <v>35</v>
      </c>
      <c r="C12" s="45" t="str">
        <f>辅助表格!C45&amp;"近战"</f>
        <v>第10波近战</v>
      </c>
      <c r="D12" s="89">
        <f>辅助表格!F45</f>
        <v>516.5261696</v>
      </c>
      <c r="E12" s="90">
        <f t="shared" si="0"/>
        <v>1.291315424</v>
      </c>
      <c r="F12" s="91">
        <f>辅助表格!D45</f>
        <v>2066.1046784</v>
      </c>
      <c r="G12" s="48">
        <v>1</v>
      </c>
      <c r="H12" s="46" t="s">
        <v>36</v>
      </c>
      <c r="I12" s="46">
        <v>100</v>
      </c>
      <c r="J12" s="46">
        <v>20000</v>
      </c>
      <c r="K12" s="48" t="s">
        <v>37</v>
      </c>
      <c r="L12" s="48">
        <v>0</v>
      </c>
      <c r="M12" s="48">
        <v>1</v>
      </c>
      <c r="N12" s="99">
        <v>10</v>
      </c>
      <c r="O12" s="46" t="s">
        <v>38</v>
      </c>
      <c r="P12" s="68" t="s">
        <v>39</v>
      </c>
      <c r="Q12" s="68" t="s">
        <v>38</v>
      </c>
      <c r="R12" s="68" t="s">
        <v>36</v>
      </c>
      <c r="S12" s="49"/>
      <c r="T12" s="49"/>
      <c r="U12" s="49"/>
      <c r="V12" s="52"/>
    </row>
    <row r="13" spans="2:22">
      <c r="B13" s="44" t="s">
        <v>35</v>
      </c>
      <c r="C13" s="45" t="str">
        <f>辅助表格!C46&amp;"近战"</f>
        <v>第11波近战</v>
      </c>
      <c r="D13" s="89">
        <f>辅助表格!F46</f>
        <v>723.13663744</v>
      </c>
      <c r="E13" s="90">
        <f t="shared" si="0"/>
        <v>1.8078415936</v>
      </c>
      <c r="F13" s="91">
        <f>辅助表格!D46</f>
        <v>2892.54654976</v>
      </c>
      <c r="G13" s="48">
        <v>1</v>
      </c>
      <c r="H13" s="46" t="s">
        <v>36</v>
      </c>
      <c r="I13" s="46">
        <v>100</v>
      </c>
      <c r="J13" s="46">
        <v>20000</v>
      </c>
      <c r="K13" s="48" t="s">
        <v>37</v>
      </c>
      <c r="L13" s="48">
        <v>0</v>
      </c>
      <c r="M13" s="48">
        <v>1</v>
      </c>
      <c r="N13" s="99">
        <v>11</v>
      </c>
      <c r="O13" s="46" t="s">
        <v>38</v>
      </c>
      <c r="P13" s="68" t="s">
        <v>39</v>
      </c>
      <c r="Q13" s="68" t="s">
        <v>38</v>
      </c>
      <c r="R13" s="68" t="s">
        <v>36</v>
      </c>
      <c r="S13" s="49"/>
      <c r="T13" s="49"/>
      <c r="U13" s="49"/>
      <c r="V13" s="52"/>
    </row>
    <row r="14" spans="2:22">
      <c r="B14" s="44" t="s">
        <v>35</v>
      </c>
      <c r="C14" s="45" t="str">
        <f>辅助表格!C47&amp;"近战"</f>
        <v>第12波近战</v>
      </c>
      <c r="D14" s="89">
        <f>辅助表格!F47</f>
        <v>1012.391292416</v>
      </c>
      <c r="E14" s="90">
        <f t="shared" si="0"/>
        <v>2.53097823104</v>
      </c>
      <c r="F14" s="91">
        <f>辅助表格!D47</f>
        <v>4049.565169664</v>
      </c>
      <c r="G14" s="48">
        <v>1</v>
      </c>
      <c r="H14" s="46" t="s">
        <v>36</v>
      </c>
      <c r="I14" s="46">
        <v>100</v>
      </c>
      <c r="J14" s="46">
        <v>20000</v>
      </c>
      <c r="K14" s="48" t="s">
        <v>37</v>
      </c>
      <c r="L14" s="48">
        <v>0</v>
      </c>
      <c r="M14" s="48">
        <v>1</v>
      </c>
      <c r="N14" s="99">
        <v>12</v>
      </c>
      <c r="O14" s="46" t="s">
        <v>38</v>
      </c>
      <c r="P14" s="68" t="s">
        <v>39</v>
      </c>
      <c r="Q14" s="68" t="s">
        <v>38</v>
      </c>
      <c r="R14" s="68" t="s">
        <v>36</v>
      </c>
      <c r="S14" s="49"/>
      <c r="T14" s="49"/>
      <c r="U14" s="49"/>
      <c r="V14" s="52"/>
    </row>
    <row r="15" spans="2:22">
      <c r="B15" s="44" t="s">
        <v>35</v>
      </c>
      <c r="C15" s="45" t="str">
        <f>辅助表格!C48&amp;"近战"</f>
        <v>第13波近战</v>
      </c>
      <c r="D15" s="89">
        <f>辅助表格!F48</f>
        <v>1417.3478093824</v>
      </c>
      <c r="E15" s="90">
        <f t="shared" si="0"/>
        <v>3.543369523456</v>
      </c>
      <c r="F15" s="91">
        <f>辅助表格!D48</f>
        <v>5669.3912375296</v>
      </c>
      <c r="G15" s="48">
        <v>1</v>
      </c>
      <c r="H15" s="46" t="s">
        <v>36</v>
      </c>
      <c r="I15" s="46">
        <v>100</v>
      </c>
      <c r="J15" s="46">
        <v>20000</v>
      </c>
      <c r="K15" s="48" t="s">
        <v>37</v>
      </c>
      <c r="L15" s="48">
        <v>0</v>
      </c>
      <c r="M15" s="48">
        <v>1</v>
      </c>
      <c r="N15" s="99">
        <v>13</v>
      </c>
      <c r="O15" s="46" t="s">
        <v>38</v>
      </c>
      <c r="P15" s="68" t="s">
        <v>39</v>
      </c>
      <c r="Q15" s="68" t="s">
        <v>38</v>
      </c>
      <c r="R15" s="68" t="s">
        <v>36</v>
      </c>
      <c r="S15" s="49"/>
      <c r="T15" s="49"/>
      <c r="U15" s="49"/>
      <c r="V15" s="52"/>
    </row>
    <row r="16" spans="2:22">
      <c r="B16" s="44" t="s">
        <v>35</v>
      </c>
      <c r="C16" s="45" t="str">
        <f>辅助表格!C49&amp;"近战"</f>
        <v>第14波近战</v>
      </c>
      <c r="D16" s="89">
        <f>辅助表格!F49</f>
        <v>1984.28693313536</v>
      </c>
      <c r="E16" s="90">
        <f t="shared" si="0"/>
        <v>4.9607173328384</v>
      </c>
      <c r="F16" s="91">
        <f>辅助表格!D49</f>
        <v>7937.14773254144</v>
      </c>
      <c r="G16" s="48">
        <v>1</v>
      </c>
      <c r="H16" s="46" t="s">
        <v>36</v>
      </c>
      <c r="I16" s="46">
        <v>100</v>
      </c>
      <c r="J16" s="46">
        <v>20000</v>
      </c>
      <c r="K16" s="48" t="s">
        <v>37</v>
      </c>
      <c r="L16" s="48">
        <v>0</v>
      </c>
      <c r="M16" s="48">
        <v>1</v>
      </c>
      <c r="N16" s="99">
        <v>14</v>
      </c>
      <c r="O16" s="46" t="s">
        <v>38</v>
      </c>
      <c r="P16" s="68" t="s">
        <v>39</v>
      </c>
      <c r="Q16" s="68" t="s">
        <v>38</v>
      </c>
      <c r="R16" s="68" t="s">
        <v>36</v>
      </c>
      <c r="S16" s="49"/>
      <c r="T16" s="49"/>
      <c r="U16" s="49"/>
      <c r="V16" s="52"/>
    </row>
    <row r="17" spans="2:22">
      <c r="B17" s="44" t="s">
        <v>35</v>
      </c>
      <c r="C17" s="45" t="str">
        <f>辅助表格!C50&amp;"近战"</f>
        <v>第15波近战</v>
      </c>
      <c r="D17" s="89">
        <f>辅助表格!F50</f>
        <v>2778.0017063895</v>
      </c>
      <c r="E17" s="90">
        <f t="shared" si="0"/>
        <v>6.94500426597376</v>
      </c>
      <c r="F17" s="91">
        <f>辅助表格!D50</f>
        <v>11112.006825558</v>
      </c>
      <c r="G17" s="48">
        <v>1</v>
      </c>
      <c r="H17" s="46" t="s">
        <v>36</v>
      </c>
      <c r="I17" s="46">
        <v>100</v>
      </c>
      <c r="J17" s="46">
        <v>20000</v>
      </c>
      <c r="K17" s="48" t="s">
        <v>37</v>
      </c>
      <c r="L17" s="48">
        <v>0</v>
      </c>
      <c r="M17" s="48">
        <v>1</v>
      </c>
      <c r="N17" s="99">
        <v>15</v>
      </c>
      <c r="O17" s="46" t="s">
        <v>38</v>
      </c>
      <c r="P17" s="68" t="s">
        <v>39</v>
      </c>
      <c r="Q17" s="68" t="s">
        <v>38</v>
      </c>
      <c r="R17" s="68" t="s">
        <v>36</v>
      </c>
      <c r="S17" s="49"/>
      <c r="T17" s="49"/>
      <c r="U17" s="49"/>
      <c r="V17" s="52"/>
    </row>
    <row r="18" spans="2:22">
      <c r="B18" s="44" t="s">
        <v>35</v>
      </c>
      <c r="C18" s="45" t="str">
        <f>辅助表格!C51&amp;"近战"</f>
        <v>第16波近战</v>
      </c>
      <c r="D18" s="89">
        <f>辅助表格!F51</f>
        <v>3889.2023889453</v>
      </c>
      <c r="E18" s="90">
        <f t="shared" si="0"/>
        <v>9.72300597236326</v>
      </c>
      <c r="F18" s="91">
        <f>辅助表格!D51</f>
        <v>15556.8095557812</v>
      </c>
      <c r="G18" s="48">
        <v>1</v>
      </c>
      <c r="H18" s="46" t="s">
        <v>36</v>
      </c>
      <c r="I18" s="46">
        <v>100</v>
      </c>
      <c r="J18" s="46">
        <v>20000</v>
      </c>
      <c r="K18" s="48" t="s">
        <v>37</v>
      </c>
      <c r="L18" s="48">
        <v>0</v>
      </c>
      <c r="M18" s="48">
        <v>1</v>
      </c>
      <c r="N18" s="99">
        <v>16</v>
      </c>
      <c r="O18" s="46" t="s">
        <v>38</v>
      </c>
      <c r="P18" s="68" t="s">
        <v>39</v>
      </c>
      <c r="Q18" s="68" t="s">
        <v>38</v>
      </c>
      <c r="R18" s="68" t="s">
        <v>36</v>
      </c>
      <c r="S18" s="49"/>
      <c r="T18" s="49"/>
      <c r="U18" s="49"/>
      <c r="V18" s="52"/>
    </row>
    <row r="19" spans="2:22">
      <c r="B19" s="44" t="s">
        <v>35</v>
      </c>
      <c r="C19" s="45" t="str">
        <f>辅助表格!C52&amp;"近战"</f>
        <v>第17波近战</v>
      </c>
      <c r="D19" s="89">
        <f>辅助表格!F52</f>
        <v>5444.88334452342</v>
      </c>
      <c r="E19" s="90">
        <f t="shared" si="0"/>
        <v>13.6122083613086</v>
      </c>
      <c r="F19" s="91">
        <f>辅助表格!D52</f>
        <v>21779.5333780937</v>
      </c>
      <c r="G19" s="48">
        <v>1</v>
      </c>
      <c r="H19" s="46" t="s">
        <v>36</v>
      </c>
      <c r="I19" s="46">
        <v>100</v>
      </c>
      <c r="J19" s="46">
        <v>20000</v>
      </c>
      <c r="K19" s="48" t="s">
        <v>37</v>
      </c>
      <c r="L19" s="48">
        <v>0</v>
      </c>
      <c r="M19" s="48">
        <v>1</v>
      </c>
      <c r="N19" s="99">
        <v>17</v>
      </c>
      <c r="O19" s="46" t="s">
        <v>38</v>
      </c>
      <c r="P19" s="68" t="s">
        <v>39</v>
      </c>
      <c r="Q19" s="68" t="s">
        <v>38</v>
      </c>
      <c r="R19" s="68" t="s">
        <v>36</v>
      </c>
      <c r="S19" s="49"/>
      <c r="T19" s="49"/>
      <c r="U19" s="49"/>
      <c r="V19" s="52"/>
    </row>
    <row r="20" s="34" customFormat="1" spans="2:22">
      <c r="B20" s="44" t="s">
        <v>35</v>
      </c>
      <c r="C20" s="45" t="str">
        <f>辅助表格!C53&amp;"近战"</f>
        <v>第18波近战</v>
      </c>
      <c r="D20" s="89">
        <f>辅助表格!F53</f>
        <v>7622.83668233279</v>
      </c>
      <c r="E20" s="90">
        <f t="shared" si="0"/>
        <v>19.057091705832</v>
      </c>
      <c r="F20" s="91">
        <f>辅助表格!D53</f>
        <v>30491.3467293312</v>
      </c>
      <c r="G20" s="48">
        <v>1</v>
      </c>
      <c r="H20" s="46" t="s">
        <v>36</v>
      </c>
      <c r="I20" s="46">
        <v>100</v>
      </c>
      <c r="J20" s="46">
        <v>20000</v>
      </c>
      <c r="K20" s="48" t="s">
        <v>37</v>
      </c>
      <c r="L20" s="48">
        <v>0</v>
      </c>
      <c r="M20" s="48">
        <v>1</v>
      </c>
      <c r="N20" s="99">
        <v>18</v>
      </c>
      <c r="O20" s="46" t="s">
        <v>38</v>
      </c>
      <c r="P20" s="68" t="s">
        <v>39</v>
      </c>
      <c r="Q20" s="68" t="s">
        <v>38</v>
      </c>
      <c r="R20" s="68" t="s">
        <v>36</v>
      </c>
      <c r="S20" s="51"/>
      <c r="T20" s="51"/>
      <c r="U20" s="51"/>
      <c r="V20" s="53"/>
    </row>
    <row r="21" spans="2:22">
      <c r="B21" s="44" t="s">
        <v>35</v>
      </c>
      <c r="C21" s="45" t="str">
        <f>辅助表格!C54&amp;"近战"</f>
        <v>第19波近战</v>
      </c>
      <c r="D21" s="89">
        <f>辅助表格!F54</f>
        <v>10671.9713552659</v>
      </c>
      <c r="E21" s="90">
        <f t="shared" si="0"/>
        <v>26.6799283881648</v>
      </c>
      <c r="F21" s="91">
        <f>辅助表格!D54</f>
        <v>42687.8854210636</v>
      </c>
      <c r="G21" s="48">
        <v>1</v>
      </c>
      <c r="H21" s="46" t="s">
        <v>36</v>
      </c>
      <c r="I21" s="46">
        <v>100</v>
      </c>
      <c r="J21" s="46">
        <v>20000</v>
      </c>
      <c r="K21" s="48" t="s">
        <v>37</v>
      </c>
      <c r="L21" s="48">
        <v>0</v>
      </c>
      <c r="M21" s="48">
        <v>1</v>
      </c>
      <c r="N21" s="99">
        <v>19</v>
      </c>
      <c r="O21" s="46" t="s">
        <v>38</v>
      </c>
      <c r="P21" s="68" t="s">
        <v>39</v>
      </c>
      <c r="Q21" s="68" t="s">
        <v>38</v>
      </c>
      <c r="R21" s="68" t="s">
        <v>36</v>
      </c>
      <c r="S21" s="49"/>
      <c r="T21" s="49"/>
      <c r="U21" s="49"/>
      <c r="V21" s="52"/>
    </row>
    <row r="22" spans="2:22">
      <c r="B22" s="44" t="s">
        <v>35</v>
      </c>
      <c r="C22" s="45" t="str">
        <f>辅助表格!C55&amp;"近战"</f>
        <v>第20波近战</v>
      </c>
      <c r="D22" s="89">
        <f>辅助表格!F55</f>
        <v>14940.7598973723</v>
      </c>
      <c r="E22" s="90">
        <f t="shared" si="0"/>
        <v>37.3518997434307</v>
      </c>
      <c r="F22" s="91">
        <f>辅助表格!D55</f>
        <v>59763.0395894891</v>
      </c>
      <c r="G22" s="48">
        <v>1</v>
      </c>
      <c r="H22" s="46" t="s">
        <v>36</v>
      </c>
      <c r="I22" s="46">
        <v>100</v>
      </c>
      <c r="J22" s="46">
        <v>20000</v>
      </c>
      <c r="K22" s="48" t="s">
        <v>37</v>
      </c>
      <c r="L22" s="48">
        <v>0</v>
      </c>
      <c r="M22" s="48">
        <v>1</v>
      </c>
      <c r="N22" s="99">
        <v>20</v>
      </c>
      <c r="O22" s="46" t="s">
        <v>38</v>
      </c>
      <c r="P22" s="68" t="s">
        <v>39</v>
      </c>
      <c r="Q22" s="68" t="s">
        <v>38</v>
      </c>
      <c r="R22" s="68" t="s">
        <v>36</v>
      </c>
      <c r="S22" s="49"/>
      <c r="T22" s="49"/>
      <c r="U22" s="49"/>
      <c r="V22" s="52"/>
    </row>
    <row r="23" spans="2:22">
      <c r="B23" s="44" t="s">
        <v>35</v>
      </c>
      <c r="C23" s="45" t="str">
        <f>辅助表格!C56&amp;"近战"</f>
        <v>第21波近战</v>
      </c>
      <c r="D23" s="89">
        <f>辅助表格!F56</f>
        <v>20917.0638563212</v>
      </c>
      <c r="E23" s="90">
        <f t="shared" si="0"/>
        <v>52.292659640803</v>
      </c>
      <c r="F23" s="91">
        <f>辅助表格!D56</f>
        <v>83668.2554252847</v>
      </c>
      <c r="G23" s="48">
        <v>1</v>
      </c>
      <c r="H23" s="46" t="s">
        <v>36</v>
      </c>
      <c r="I23" s="46">
        <v>100</v>
      </c>
      <c r="J23" s="46">
        <v>20000</v>
      </c>
      <c r="K23" s="48" t="s">
        <v>37</v>
      </c>
      <c r="L23" s="48">
        <v>0</v>
      </c>
      <c r="M23" s="48">
        <v>1</v>
      </c>
      <c r="N23" s="99">
        <v>21</v>
      </c>
      <c r="O23" s="46" t="s">
        <v>38</v>
      </c>
      <c r="P23" s="68" t="s">
        <v>39</v>
      </c>
      <c r="Q23" s="68" t="s">
        <v>38</v>
      </c>
      <c r="R23" s="68" t="s">
        <v>36</v>
      </c>
      <c r="S23" s="49"/>
      <c r="T23" s="49"/>
      <c r="U23" s="49"/>
      <c r="V23" s="52"/>
    </row>
    <row r="24" spans="2:22">
      <c r="B24" s="44" t="s">
        <v>35</v>
      </c>
      <c r="C24" s="45" t="str">
        <f>辅助表格!C57&amp;"近战"</f>
        <v>第22波近战</v>
      </c>
      <c r="D24" s="89">
        <f>辅助表格!F57</f>
        <v>29283.8893988497</v>
      </c>
      <c r="E24" s="90">
        <f t="shared" si="0"/>
        <v>73.2097234971241</v>
      </c>
      <c r="F24" s="91">
        <f>辅助表格!D57</f>
        <v>117135.557595399</v>
      </c>
      <c r="G24" s="48">
        <v>1</v>
      </c>
      <c r="H24" s="46" t="s">
        <v>36</v>
      </c>
      <c r="I24" s="46">
        <v>100</v>
      </c>
      <c r="J24" s="46">
        <v>20000</v>
      </c>
      <c r="K24" s="48" t="s">
        <v>37</v>
      </c>
      <c r="L24" s="48">
        <v>0</v>
      </c>
      <c r="M24" s="48">
        <v>1</v>
      </c>
      <c r="N24" s="99">
        <v>22</v>
      </c>
      <c r="O24" s="46" t="s">
        <v>38</v>
      </c>
      <c r="P24" s="68" t="s">
        <v>39</v>
      </c>
      <c r="Q24" s="68" t="s">
        <v>38</v>
      </c>
      <c r="R24" s="68" t="s">
        <v>36</v>
      </c>
      <c r="S24" s="49"/>
      <c r="T24" s="49"/>
      <c r="U24" s="49"/>
      <c r="V24" s="52"/>
    </row>
    <row r="25" ht="15" customHeight="1" spans="2:22">
      <c r="B25" s="44" t="s">
        <v>35</v>
      </c>
      <c r="C25" s="45" t="str">
        <f>辅助表格!C58&amp;"近战"</f>
        <v>第23波近战</v>
      </c>
      <c r="D25" s="89">
        <f>辅助表格!F58</f>
        <v>40997.4451583895</v>
      </c>
      <c r="E25" s="90">
        <f t="shared" si="0"/>
        <v>102.493612895974</v>
      </c>
      <c r="F25" s="91">
        <f>辅助表格!D58</f>
        <v>163989.780633558</v>
      </c>
      <c r="G25" s="48">
        <v>1</v>
      </c>
      <c r="H25" s="46" t="s">
        <v>36</v>
      </c>
      <c r="I25" s="46">
        <v>100</v>
      </c>
      <c r="J25" s="46">
        <v>20000</v>
      </c>
      <c r="K25" s="48" t="s">
        <v>37</v>
      </c>
      <c r="L25" s="48">
        <v>0</v>
      </c>
      <c r="M25" s="48">
        <v>1</v>
      </c>
      <c r="N25" s="99">
        <v>23</v>
      </c>
      <c r="O25" s="46" t="s">
        <v>38</v>
      </c>
      <c r="P25" s="68" t="s">
        <v>39</v>
      </c>
      <c r="Q25" s="68" t="s">
        <v>38</v>
      </c>
      <c r="R25" s="68" t="s">
        <v>36</v>
      </c>
      <c r="S25" s="49"/>
      <c r="T25" s="49"/>
      <c r="U25" s="49"/>
      <c r="V25" s="52"/>
    </row>
    <row r="26" spans="2:22">
      <c r="B26" s="44" t="s">
        <v>35</v>
      </c>
      <c r="C26" s="45" t="str">
        <f>辅助表格!C59&amp;"近战"</f>
        <v>第24波近战</v>
      </c>
      <c r="D26" s="89">
        <f>辅助表格!F59</f>
        <v>57396.4232217453</v>
      </c>
      <c r="E26" s="90">
        <f t="shared" si="0"/>
        <v>143.491058054363</v>
      </c>
      <c r="F26" s="91">
        <f>辅助表格!D59</f>
        <v>229585.692886981</v>
      </c>
      <c r="G26" s="48">
        <v>1</v>
      </c>
      <c r="H26" s="46" t="s">
        <v>36</v>
      </c>
      <c r="I26" s="46">
        <v>100</v>
      </c>
      <c r="J26" s="46">
        <v>20000</v>
      </c>
      <c r="K26" s="48" t="s">
        <v>37</v>
      </c>
      <c r="L26" s="48">
        <v>0</v>
      </c>
      <c r="M26" s="48">
        <v>1</v>
      </c>
      <c r="N26" s="99">
        <v>24</v>
      </c>
      <c r="O26" s="46" t="s">
        <v>38</v>
      </c>
      <c r="P26" s="68" t="s">
        <v>39</v>
      </c>
      <c r="Q26" s="68" t="s">
        <v>38</v>
      </c>
      <c r="R26" s="68" t="s">
        <v>36</v>
      </c>
      <c r="S26" s="49"/>
      <c r="T26" s="49"/>
      <c r="U26" s="49"/>
      <c r="V26" s="52"/>
    </row>
    <row r="27" spans="2:22">
      <c r="B27" s="44" t="s">
        <v>35</v>
      </c>
      <c r="C27" s="45" t="str">
        <f>辅助表格!C60&amp;"近战"</f>
        <v>第25波近战</v>
      </c>
      <c r="D27" s="89">
        <f>辅助表格!F60</f>
        <v>80354.9925104434</v>
      </c>
      <c r="E27" s="90">
        <f t="shared" si="0"/>
        <v>200.887481276109</v>
      </c>
      <c r="F27" s="91">
        <f>辅助表格!D60</f>
        <v>321419.970041774</v>
      </c>
      <c r="G27" s="48">
        <v>1</v>
      </c>
      <c r="H27" s="46" t="s">
        <v>36</v>
      </c>
      <c r="I27" s="46">
        <v>100</v>
      </c>
      <c r="J27" s="46">
        <v>20000</v>
      </c>
      <c r="K27" s="48" t="s">
        <v>37</v>
      </c>
      <c r="L27" s="48">
        <v>0</v>
      </c>
      <c r="M27" s="48">
        <v>1</v>
      </c>
      <c r="N27" s="99">
        <v>25</v>
      </c>
      <c r="O27" s="46" t="s">
        <v>38</v>
      </c>
      <c r="P27" s="68" t="s">
        <v>39</v>
      </c>
      <c r="Q27" s="68" t="s">
        <v>38</v>
      </c>
      <c r="R27" s="68" t="s">
        <v>36</v>
      </c>
      <c r="S27" s="49"/>
      <c r="T27" s="49"/>
      <c r="U27" s="49"/>
      <c r="V27" s="52"/>
    </row>
    <row r="28" spans="2:22">
      <c r="B28" s="44" t="s">
        <v>40</v>
      </c>
      <c r="C28" s="45" t="str">
        <f>辅助表格!C36&amp;"远程"</f>
        <v>第1波远程</v>
      </c>
      <c r="D28" s="92">
        <f>辅助表格!G36</f>
        <v>50</v>
      </c>
      <c r="E28" s="90">
        <f>E3/2</f>
        <v>0.03125</v>
      </c>
      <c r="F28" s="93">
        <f>辅助表格!E36</f>
        <v>50</v>
      </c>
      <c r="G28" s="69">
        <v>1.5</v>
      </c>
      <c r="H28" s="46" t="s">
        <v>36</v>
      </c>
      <c r="I28" s="46">
        <v>425</v>
      </c>
      <c r="J28" s="46">
        <v>20000</v>
      </c>
      <c r="K28" s="48" t="s">
        <v>37</v>
      </c>
      <c r="L28" s="48">
        <v>0</v>
      </c>
      <c r="M28" s="48">
        <v>1</v>
      </c>
      <c r="N28" s="99">
        <v>1</v>
      </c>
      <c r="O28" s="46" t="s">
        <v>38</v>
      </c>
      <c r="P28" s="68" t="s">
        <v>39</v>
      </c>
      <c r="Q28" s="68" t="s">
        <v>38</v>
      </c>
      <c r="R28" s="68" t="s">
        <v>36</v>
      </c>
      <c r="S28" s="49"/>
      <c r="T28" s="49"/>
      <c r="U28" s="49"/>
      <c r="V28" s="52"/>
    </row>
    <row r="29" spans="2:22">
      <c r="B29" s="44" t="s">
        <v>40</v>
      </c>
      <c r="C29" s="45" t="str">
        <f>辅助表格!C37&amp;"远程"</f>
        <v>第2波远程</v>
      </c>
      <c r="D29" s="92">
        <f>辅助表格!G37</f>
        <v>70</v>
      </c>
      <c r="E29" s="90">
        <f t="shared" ref="E29:E52" si="1">E4/2</f>
        <v>0.04375</v>
      </c>
      <c r="F29" s="93">
        <f>辅助表格!E37</f>
        <v>70</v>
      </c>
      <c r="G29" s="69">
        <v>1.5</v>
      </c>
      <c r="H29" s="46" t="s">
        <v>36</v>
      </c>
      <c r="I29" s="46">
        <v>425</v>
      </c>
      <c r="J29" s="46">
        <v>20000</v>
      </c>
      <c r="K29" s="48" t="s">
        <v>37</v>
      </c>
      <c r="L29" s="48">
        <v>0</v>
      </c>
      <c r="M29" s="48">
        <v>1</v>
      </c>
      <c r="N29" s="99">
        <v>2</v>
      </c>
      <c r="O29" s="46" t="s">
        <v>38</v>
      </c>
      <c r="P29" s="68" t="s">
        <v>39</v>
      </c>
      <c r="Q29" s="68" t="s">
        <v>38</v>
      </c>
      <c r="R29" s="68" t="s">
        <v>36</v>
      </c>
      <c r="S29" s="49"/>
      <c r="T29" s="49"/>
      <c r="U29" s="49"/>
      <c r="V29" s="52"/>
    </row>
    <row r="30" spans="2:22">
      <c r="B30" s="44" t="s">
        <v>40</v>
      </c>
      <c r="C30" s="45" t="str">
        <f>辅助表格!C38&amp;"远程"</f>
        <v>第3波远程</v>
      </c>
      <c r="D30" s="92">
        <f>辅助表格!G38</f>
        <v>98</v>
      </c>
      <c r="E30" s="90">
        <f t="shared" si="1"/>
        <v>0.06125</v>
      </c>
      <c r="F30" s="93">
        <f>辅助表格!E38</f>
        <v>98</v>
      </c>
      <c r="G30" s="69">
        <v>1.5</v>
      </c>
      <c r="H30" s="46" t="s">
        <v>36</v>
      </c>
      <c r="I30" s="46">
        <v>425</v>
      </c>
      <c r="J30" s="46">
        <v>20000</v>
      </c>
      <c r="K30" s="48" t="s">
        <v>37</v>
      </c>
      <c r="L30" s="48">
        <v>0</v>
      </c>
      <c r="M30" s="48">
        <v>1</v>
      </c>
      <c r="N30" s="99">
        <v>3</v>
      </c>
      <c r="O30" s="46" t="s">
        <v>38</v>
      </c>
      <c r="P30" s="68" t="s">
        <v>39</v>
      </c>
      <c r="Q30" s="68" t="s">
        <v>38</v>
      </c>
      <c r="R30" s="68" t="s">
        <v>36</v>
      </c>
      <c r="S30" s="49"/>
      <c r="T30" s="49"/>
      <c r="U30" s="49"/>
      <c r="V30" s="52"/>
    </row>
    <row r="31" spans="2:22">
      <c r="B31" s="44" t="s">
        <v>40</v>
      </c>
      <c r="C31" s="45" t="str">
        <f>辅助表格!C39&amp;"远程"</f>
        <v>第4波远程</v>
      </c>
      <c r="D31" s="92">
        <f>辅助表格!G39</f>
        <v>137.2</v>
      </c>
      <c r="E31" s="90">
        <f t="shared" si="1"/>
        <v>0.08575</v>
      </c>
      <c r="F31" s="93">
        <f>辅助表格!E39</f>
        <v>137.2</v>
      </c>
      <c r="G31" s="69">
        <v>1.5</v>
      </c>
      <c r="H31" s="46" t="s">
        <v>36</v>
      </c>
      <c r="I31" s="46">
        <v>425</v>
      </c>
      <c r="J31" s="46">
        <v>20000</v>
      </c>
      <c r="K31" s="48" t="s">
        <v>37</v>
      </c>
      <c r="L31" s="48">
        <v>0</v>
      </c>
      <c r="M31" s="48">
        <v>1</v>
      </c>
      <c r="N31" s="99">
        <v>4</v>
      </c>
      <c r="O31" s="46" t="s">
        <v>38</v>
      </c>
      <c r="P31" s="68" t="s">
        <v>39</v>
      </c>
      <c r="Q31" s="68" t="s">
        <v>38</v>
      </c>
      <c r="R31" s="68" t="s">
        <v>36</v>
      </c>
      <c r="S31" s="49"/>
      <c r="T31" s="49"/>
      <c r="U31" s="49"/>
      <c r="V31" s="52"/>
    </row>
    <row r="32" spans="2:22">
      <c r="B32" s="44" t="s">
        <v>40</v>
      </c>
      <c r="C32" s="45" t="str">
        <f>辅助表格!C40&amp;"远程"</f>
        <v>第5波远程</v>
      </c>
      <c r="D32" s="92">
        <f>辅助表格!G40</f>
        <v>192.08</v>
      </c>
      <c r="E32" s="90">
        <f t="shared" si="1"/>
        <v>0.12005</v>
      </c>
      <c r="F32" s="93">
        <f>辅助表格!E40</f>
        <v>192.08</v>
      </c>
      <c r="G32" s="69">
        <v>1.5</v>
      </c>
      <c r="H32" s="46" t="s">
        <v>36</v>
      </c>
      <c r="I32" s="46">
        <v>425</v>
      </c>
      <c r="J32" s="46">
        <v>20000</v>
      </c>
      <c r="K32" s="48" t="s">
        <v>37</v>
      </c>
      <c r="L32" s="48">
        <v>0</v>
      </c>
      <c r="M32" s="48">
        <v>1</v>
      </c>
      <c r="N32" s="99">
        <v>5</v>
      </c>
      <c r="O32" s="46" t="s">
        <v>38</v>
      </c>
      <c r="P32" s="68" t="s">
        <v>39</v>
      </c>
      <c r="Q32" s="68" t="s">
        <v>38</v>
      </c>
      <c r="R32" s="68" t="s">
        <v>36</v>
      </c>
      <c r="S32" s="49"/>
      <c r="T32" s="49"/>
      <c r="U32" s="49"/>
      <c r="V32" s="52"/>
    </row>
    <row r="33" spans="2:22">
      <c r="B33" s="44" t="s">
        <v>40</v>
      </c>
      <c r="C33" s="45" t="str">
        <f>辅助表格!C41&amp;"远程"</f>
        <v>第6波远程</v>
      </c>
      <c r="D33" s="92">
        <f>辅助表格!G41</f>
        <v>268.912</v>
      </c>
      <c r="E33" s="90">
        <f t="shared" si="1"/>
        <v>0.16807</v>
      </c>
      <c r="F33" s="93">
        <f>辅助表格!E41</f>
        <v>268.912</v>
      </c>
      <c r="G33" s="69">
        <v>1.5</v>
      </c>
      <c r="H33" s="46" t="s">
        <v>36</v>
      </c>
      <c r="I33" s="46">
        <v>425</v>
      </c>
      <c r="J33" s="46">
        <v>20000</v>
      </c>
      <c r="K33" s="48" t="s">
        <v>37</v>
      </c>
      <c r="L33" s="48">
        <v>0</v>
      </c>
      <c r="M33" s="48">
        <v>1</v>
      </c>
      <c r="N33" s="99">
        <v>6</v>
      </c>
      <c r="O33" s="46" t="s">
        <v>38</v>
      </c>
      <c r="P33" s="68" t="s">
        <v>39</v>
      </c>
      <c r="Q33" s="68" t="s">
        <v>38</v>
      </c>
      <c r="R33" s="68" t="s">
        <v>36</v>
      </c>
      <c r="S33" s="49"/>
      <c r="T33" s="49"/>
      <c r="U33" s="49"/>
      <c r="V33" s="52"/>
    </row>
    <row r="34" spans="2:22">
      <c r="B34" s="44" t="s">
        <v>40</v>
      </c>
      <c r="C34" s="45" t="str">
        <f>辅助表格!C42&amp;"远程"</f>
        <v>第7波远程</v>
      </c>
      <c r="D34" s="92">
        <f>辅助表格!G42</f>
        <v>376.4768</v>
      </c>
      <c r="E34" s="90">
        <f t="shared" si="1"/>
        <v>0.235298</v>
      </c>
      <c r="F34" s="93">
        <f>辅助表格!E42</f>
        <v>376.4768</v>
      </c>
      <c r="G34" s="69">
        <v>1.5</v>
      </c>
      <c r="H34" s="46" t="s">
        <v>36</v>
      </c>
      <c r="I34" s="46">
        <v>425</v>
      </c>
      <c r="J34" s="46">
        <v>20000</v>
      </c>
      <c r="K34" s="48" t="s">
        <v>37</v>
      </c>
      <c r="L34" s="48">
        <v>0</v>
      </c>
      <c r="M34" s="48">
        <v>1</v>
      </c>
      <c r="N34" s="99">
        <v>7</v>
      </c>
      <c r="O34" s="46" t="s">
        <v>38</v>
      </c>
      <c r="P34" s="68" t="s">
        <v>39</v>
      </c>
      <c r="Q34" s="68" t="s">
        <v>38</v>
      </c>
      <c r="R34" s="68" t="s">
        <v>36</v>
      </c>
      <c r="S34" s="49"/>
      <c r="T34" s="49"/>
      <c r="U34" s="49"/>
      <c r="V34" s="52"/>
    </row>
    <row r="35" spans="2:22">
      <c r="B35" s="44" t="s">
        <v>40</v>
      </c>
      <c r="C35" s="45" t="str">
        <f>辅助表格!C43&amp;"远程"</f>
        <v>第8波远程</v>
      </c>
      <c r="D35" s="92">
        <f>辅助表格!G43</f>
        <v>527.06752</v>
      </c>
      <c r="E35" s="90">
        <f t="shared" si="1"/>
        <v>0.3294172</v>
      </c>
      <c r="F35" s="93">
        <f>辅助表格!E43</f>
        <v>527.06752</v>
      </c>
      <c r="G35" s="69">
        <v>1.5</v>
      </c>
      <c r="H35" s="46" t="s">
        <v>36</v>
      </c>
      <c r="I35" s="46">
        <v>425</v>
      </c>
      <c r="J35" s="46">
        <v>20000</v>
      </c>
      <c r="K35" s="48" t="s">
        <v>37</v>
      </c>
      <c r="L35" s="48">
        <v>0</v>
      </c>
      <c r="M35" s="48">
        <v>1</v>
      </c>
      <c r="N35" s="99">
        <v>8</v>
      </c>
      <c r="O35" s="46" t="s">
        <v>38</v>
      </c>
      <c r="P35" s="68" t="s">
        <v>39</v>
      </c>
      <c r="Q35" s="68" t="s">
        <v>38</v>
      </c>
      <c r="R35" s="68" t="s">
        <v>36</v>
      </c>
      <c r="S35" s="49"/>
      <c r="T35" s="49"/>
      <c r="U35" s="49"/>
      <c r="V35" s="52"/>
    </row>
    <row r="36" spans="2:22">
      <c r="B36" s="44" t="s">
        <v>40</v>
      </c>
      <c r="C36" s="45" t="str">
        <f>辅助表格!C44&amp;"远程"</f>
        <v>第9波远程</v>
      </c>
      <c r="D36" s="92">
        <f>辅助表格!G44</f>
        <v>737.894528</v>
      </c>
      <c r="E36" s="90">
        <f t="shared" si="1"/>
        <v>0.46118408</v>
      </c>
      <c r="F36" s="93">
        <f>辅助表格!E44</f>
        <v>737.894528</v>
      </c>
      <c r="G36" s="69">
        <v>1.5</v>
      </c>
      <c r="H36" s="46" t="s">
        <v>36</v>
      </c>
      <c r="I36" s="46">
        <v>425</v>
      </c>
      <c r="J36" s="46">
        <v>20000</v>
      </c>
      <c r="K36" s="48" t="s">
        <v>37</v>
      </c>
      <c r="L36" s="48">
        <v>0</v>
      </c>
      <c r="M36" s="48">
        <v>1</v>
      </c>
      <c r="N36" s="99">
        <v>9</v>
      </c>
      <c r="O36" s="46" t="s">
        <v>38</v>
      </c>
      <c r="P36" s="68" t="s">
        <v>39</v>
      </c>
      <c r="Q36" s="68" t="s">
        <v>38</v>
      </c>
      <c r="R36" s="68" t="s">
        <v>36</v>
      </c>
      <c r="S36" s="49"/>
      <c r="T36" s="49"/>
      <c r="U36" s="49"/>
      <c r="V36" s="52"/>
    </row>
    <row r="37" spans="2:22">
      <c r="B37" s="44" t="s">
        <v>40</v>
      </c>
      <c r="C37" s="45" t="str">
        <f>辅助表格!C45&amp;"远程"</f>
        <v>第10波远程</v>
      </c>
      <c r="D37" s="92">
        <f>辅助表格!G45</f>
        <v>1033.0523392</v>
      </c>
      <c r="E37" s="90">
        <f t="shared" si="1"/>
        <v>0.645657712</v>
      </c>
      <c r="F37" s="93">
        <f>辅助表格!E45</f>
        <v>1033.0523392</v>
      </c>
      <c r="G37" s="69">
        <v>1.5</v>
      </c>
      <c r="H37" s="46" t="s">
        <v>36</v>
      </c>
      <c r="I37" s="46">
        <v>425</v>
      </c>
      <c r="J37" s="46">
        <v>20000</v>
      </c>
      <c r="K37" s="48" t="s">
        <v>37</v>
      </c>
      <c r="L37" s="48">
        <v>0</v>
      </c>
      <c r="M37" s="48">
        <v>1</v>
      </c>
      <c r="N37" s="99">
        <v>10</v>
      </c>
      <c r="O37" s="46" t="s">
        <v>38</v>
      </c>
      <c r="P37" s="68" t="s">
        <v>39</v>
      </c>
      <c r="Q37" s="68" t="s">
        <v>38</v>
      </c>
      <c r="R37" s="68" t="s">
        <v>36</v>
      </c>
      <c r="S37" s="49"/>
      <c r="T37" s="49"/>
      <c r="U37" s="49"/>
      <c r="V37" s="52"/>
    </row>
    <row r="38" spans="2:22">
      <c r="B38" s="44" t="s">
        <v>40</v>
      </c>
      <c r="C38" s="45" t="str">
        <f>辅助表格!C46&amp;"远程"</f>
        <v>第11波远程</v>
      </c>
      <c r="D38" s="92">
        <f>辅助表格!G46</f>
        <v>1446.27327488</v>
      </c>
      <c r="E38" s="90">
        <f t="shared" si="1"/>
        <v>0.9039207968</v>
      </c>
      <c r="F38" s="93">
        <f>辅助表格!E46</f>
        <v>1446.27327488</v>
      </c>
      <c r="G38" s="69">
        <v>1.5</v>
      </c>
      <c r="H38" s="46" t="s">
        <v>36</v>
      </c>
      <c r="I38" s="46">
        <v>425</v>
      </c>
      <c r="J38" s="46">
        <v>20000</v>
      </c>
      <c r="K38" s="48" t="s">
        <v>37</v>
      </c>
      <c r="L38" s="48">
        <v>0</v>
      </c>
      <c r="M38" s="48">
        <v>1</v>
      </c>
      <c r="N38" s="99">
        <v>11</v>
      </c>
      <c r="O38" s="46" t="s">
        <v>38</v>
      </c>
      <c r="P38" s="68" t="s">
        <v>39</v>
      </c>
      <c r="Q38" s="68" t="s">
        <v>38</v>
      </c>
      <c r="R38" s="68" t="s">
        <v>36</v>
      </c>
      <c r="S38" s="49"/>
      <c r="T38" s="49"/>
      <c r="U38" s="49"/>
      <c r="V38" s="52"/>
    </row>
    <row r="39" spans="2:22">
      <c r="B39" s="44" t="s">
        <v>40</v>
      </c>
      <c r="C39" s="45" t="str">
        <f>辅助表格!C47&amp;"远程"</f>
        <v>第12波远程</v>
      </c>
      <c r="D39" s="92">
        <f>辅助表格!G47</f>
        <v>2024.782584832</v>
      </c>
      <c r="E39" s="90">
        <f t="shared" si="1"/>
        <v>1.26548911552</v>
      </c>
      <c r="F39" s="93">
        <f>辅助表格!E47</f>
        <v>2024.782584832</v>
      </c>
      <c r="G39" s="69">
        <v>1.5</v>
      </c>
      <c r="H39" s="46" t="s">
        <v>36</v>
      </c>
      <c r="I39" s="46">
        <v>425</v>
      </c>
      <c r="J39" s="46">
        <v>20000</v>
      </c>
      <c r="K39" s="48" t="s">
        <v>37</v>
      </c>
      <c r="L39" s="48">
        <v>0</v>
      </c>
      <c r="M39" s="48">
        <v>1</v>
      </c>
      <c r="N39" s="99">
        <v>12</v>
      </c>
      <c r="O39" s="46" t="s">
        <v>38</v>
      </c>
      <c r="P39" s="68" t="s">
        <v>39</v>
      </c>
      <c r="Q39" s="68" t="s">
        <v>38</v>
      </c>
      <c r="R39" s="68" t="s">
        <v>36</v>
      </c>
      <c r="S39" s="49"/>
      <c r="T39" s="49"/>
      <c r="U39" s="49"/>
      <c r="V39" s="52"/>
    </row>
    <row r="40" spans="2:22">
      <c r="B40" s="44" t="s">
        <v>40</v>
      </c>
      <c r="C40" s="45" t="str">
        <f>辅助表格!C48&amp;"远程"</f>
        <v>第13波远程</v>
      </c>
      <c r="D40" s="92">
        <f>辅助表格!G48</f>
        <v>2834.6956187648</v>
      </c>
      <c r="E40" s="90">
        <f t="shared" si="1"/>
        <v>1.771684761728</v>
      </c>
      <c r="F40" s="93">
        <f>辅助表格!E48</f>
        <v>2834.6956187648</v>
      </c>
      <c r="G40" s="69">
        <v>1.5</v>
      </c>
      <c r="H40" s="46" t="s">
        <v>36</v>
      </c>
      <c r="I40" s="46">
        <v>425</v>
      </c>
      <c r="J40" s="46">
        <v>20000</v>
      </c>
      <c r="K40" s="48" t="s">
        <v>37</v>
      </c>
      <c r="L40" s="48">
        <v>0</v>
      </c>
      <c r="M40" s="48">
        <v>1</v>
      </c>
      <c r="N40" s="99">
        <v>13</v>
      </c>
      <c r="O40" s="46" t="s">
        <v>38</v>
      </c>
      <c r="P40" s="68" t="s">
        <v>39</v>
      </c>
      <c r="Q40" s="68" t="s">
        <v>38</v>
      </c>
      <c r="R40" s="68" t="s">
        <v>36</v>
      </c>
      <c r="S40" s="49"/>
      <c r="T40" s="49"/>
      <c r="U40" s="49"/>
      <c r="V40" s="52"/>
    </row>
    <row r="41" spans="2:22">
      <c r="B41" s="44" t="s">
        <v>40</v>
      </c>
      <c r="C41" s="45" t="str">
        <f>辅助表格!C49&amp;"远程"</f>
        <v>第14波远程</v>
      </c>
      <c r="D41" s="92">
        <f>辅助表格!G49</f>
        <v>3968.57386627072</v>
      </c>
      <c r="E41" s="90">
        <f t="shared" si="1"/>
        <v>2.4803586664192</v>
      </c>
      <c r="F41" s="93">
        <f>辅助表格!E49</f>
        <v>3968.57386627072</v>
      </c>
      <c r="G41" s="69">
        <v>1.5</v>
      </c>
      <c r="H41" s="46" t="s">
        <v>36</v>
      </c>
      <c r="I41" s="46">
        <v>425</v>
      </c>
      <c r="J41" s="46">
        <v>20000</v>
      </c>
      <c r="K41" s="48" t="s">
        <v>37</v>
      </c>
      <c r="L41" s="48">
        <v>0</v>
      </c>
      <c r="M41" s="48">
        <v>1</v>
      </c>
      <c r="N41" s="99">
        <v>14</v>
      </c>
      <c r="O41" s="46" t="s">
        <v>38</v>
      </c>
      <c r="P41" s="68" t="s">
        <v>39</v>
      </c>
      <c r="Q41" s="68" t="s">
        <v>38</v>
      </c>
      <c r="R41" s="68" t="s">
        <v>36</v>
      </c>
      <c r="S41" s="49"/>
      <c r="T41" s="49"/>
      <c r="U41" s="49"/>
      <c r="V41" s="52"/>
    </row>
    <row r="42" spans="2:22">
      <c r="B42" s="44" t="s">
        <v>40</v>
      </c>
      <c r="C42" s="45" t="str">
        <f>辅助表格!C50&amp;"远程"</f>
        <v>第15波远程</v>
      </c>
      <c r="D42" s="92">
        <f>辅助表格!G50</f>
        <v>5556.003412779</v>
      </c>
      <c r="E42" s="90">
        <f t="shared" si="1"/>
        <v>3.47250213298688</v>
      </c>
      <c r="F42" s="93">
        <f>辅助表格!E50</f>
        <v>5556.003412779</v>
      </c>
      <c r="G42" s="69">
        <v>1.5</v>
      </c>
      <c r="H42" s="46" t="s">
        <v>36</v>
      </c>
      <c r="I42" s="46">
        <v>425</v>
      </c>
      <c r="J42" s="46">
        <v>20000</v>
      </c>
      <c r="K42" s="48" t="s">
        <v>37</v>
      </c>
      <c r="L42" s="48">
        <v>0</v>
      </c>
      <c r="M42" s="48">
        <v>1</v>
      </c>
      <c r="N42" s="99">
        <v>15</v>
      </c>
      <c r="O42" s="46" t="s">
        <v>38</v>
      </c>
      <c r="P42" s="68" t="s">
        <v>39</v>
      </c>
      <c r="Q42" s="68" t="s">
        <v>38</v>
      </c>
      <c r="R42" s="68" t="s">
        <v>36</v>
      </c>
      <c r="S42" s="49"/>
      <c r="T42" s="49"/>
      <c r="U42" s="49"/>
      <c r="V42" s="52"/>
    </row>
    <row r="43" spans="2:22">
      <c r="B43" s="44" t="s">
        <v>40</v>
      </c>
      <c r="C43" s="45" t="str">
        <f>辅助表格!C51&amp;"远程"</f>
        <v>第16波远程</v>
      </c>
      <c r="D43" s="92">
        <f>辅助表格!G51</f>
        <v>7778.40477789061</v>
      </c>
      <c r="E43" s="90">
        <f t="shared" si="1"/>
        <v>4.86150298618163</v>
      </c>
      <c r="F43" s="93">
        <f>辅助表格!E51</f>
        <v>7778.40477789061</v>
      </c>
      <c r="G43" s="69">
        <v>1.5</v>
      </c>
      <c r="H43" s="46" t="s">
        <v>36</v>
      </c>
      <c r="I43" s="46">
        <v>425</v>
      </c>
      <c r="J43" s="46">
        <v>20000</v>
      </c>
      <c r="K43" s="48" t="s">
        <v>37</v>
      </c>
      <c r="L43" s="48">
        <v>0</v>
      </c>
      <c r="M43" s="48">
        <v>1</v>
      </c>
      <c r="N43" s="99">
        <v>16</v>
      </c>
      <c r="O43" s="46" t="s">
        <v>38</v>
      </c>
      <c r="P43" s="68" t="s">
        <v>39</v>
      </c>
      <c r="Q43" s="68" t="s">
        <v>38</v>
      </c>
      <c r="R43" s="68" t="s">
        <v>36</v>
      </c>
      <c r="S43" s="49"/>
      <c r="T43" s="49"/>
      <c r="U43" s="49"/>
      <c r="V43" s="52"/>
    </row>
    <row r="44" spans="2:22">
      <c r="B44" s="44" t="s">
        <v>40</v>
      </c>
      <c r="C44" s="45" t="str">
        <f>辅助表格!C52&amp;"远程"</f>
        <v>第17波远程</v>
      </c>
      <c r="D44" s="92">
        <f>辅助表格!G52</f>
        <v>10889.7666890468</v>
      </c>
      <c r="E44" s="90">
        <f t="shared" si="1"/>
        <v>6.80610418065428</v>
      </c>
      <c r="F44" s="93">
        <f>辅助表格!E52</f>
        <v>10889.7666890468</v>
      </c>
      <c r="G44" s="69">
        <v>1.5</v>
      </c>
      <c r="H44" s="46" t="s">
        <v>36</v>
      </c>
      <c r="I44" s="46">
        <v>425</v>
      </c>
      <c r="J44" s="46">
        <v>20000</v>
      </c>
      <c r="K44" s="48" t="s">
        <v>37</v>
      </c>
      <c r="L44" s="48">
        <v>0</v>
      </c>
      <c r="M44" s="48">
        <v>1</v>
      </c>
      <c r="N44" s="99">
        <v>17</v>
      </c>
      <c r="O44" s="46" t="s">
        <v>38</v>
      </c>
      <c r="P44" s="68" t="s">
        <v>39</v>
      </c>
      <c r="Q44" s="68" t="s">
        <v>38</v>
      </c>
      <c r="R44" s="68" t="s">
        <v>36</v>
      </c>
      <c r="S44" s="49"/>
      <c r="T44" s="49"/>
      <c r="U44" s="49"/>
      <c r="V44" s="52"/>
    </row>
    <row r="45" spans="2:22">
      <c r="B45" s="44" t="s">
        <v>40</v>
      </c>
      <c r="C45" s="45" t="str">
        <f>辅助表格!C53&amp;"远程"</f>
        <v>第18波远程</v>
      </c>
      <c r="D45" s="92">
        <f>辅助表格!G53</f>
        <v>15245.6733646656</v>
      </c>
      <c r="E45" s="90">
        <f t="shared" si="1"/>
        <v>9.52854585291599</v>
      </c>
      <c r="F45" s="93">
        <f>辅助表格!E53</f>
        <v>15245.6733646656</v>
      </c>
      <c r="G45" s="69">
        <v>1.5</v>
      </c>
      <c r="H45" s="46" t="s">
        <v>36</v>
      </c>
      <c r="I45" s="46">
        <v>425</v>
      </c>
      <c r="J45" s="46">
        <v>20000</v>
      </c>
      <c r="K45" s="48" t="s">
        <v>37</v>
      </c>
      <c r="L45" s="48">
        <v>0</v>
      </c>
      <c r="M45" s="48">
        <v>1</v>
      </c>
      <c r="N45" s="99">
        <v>18</v>
      </c>
      <c r="O45" s="46" t="s">
        <v>38</v>
      </c>
      <c r="P45" s="68" t="s">
        <v>39</v>
      </c>
      <c r="Q45" s="68" t="s">
        <v>38</v>
      </c>
      <c r="R45" s="68" t="s">
        <v>36</v>
      </c>
      <c r="S45" s="49"/>
      <c r="T45" s="49"/>
      <c r="U45" s="49"/>
      <c r="V45" s="52"/>
    </row>
    <row r="46" spans="2:22">
      <c r="B46" s="44" t="s">
        <v>40</v>
      </c>
      <c r="C46" s="45" t="str">
        <f>辅助表格!C54&amp;"远程"</f>
        <v>第19波远程</v>
      </c>
      <c r="D46" s="92">
        <f>辅助表格!G54</f>
        <v>21343.9427105318</v>
      </c>
      <c r="E46" s="90">
        <f t="shared" si="1"/>
        <v>13.3399641940824</v>
      </c>
      <c r="F46" s="93">
        <f>辅助表格!E54</f>
        <v>21343.9427105318</v>
      </c>
      <c r="G46" s="69">
        <v>1.5</v>
      </c>
      <c r="H46" s="46" t="s">
        <v>36</v>
      </c>
      <c r="I46" s="46">
        <v>425</v>
      </c>
      <c r="J46" s="46">
        <v>20000</v>
      </c>
      <c r="K46" s="48" t="s">
        <v>37</v>
      </c>
      <c r="L46" s="48">
        <v>0</v>
      </c>
      <c r="M46" s="48">
        <v>1</v>
      </c>
      <c r="N46" s="99">
        <v>19</v>
      </c>
      <c r="O46" s="46" t="s">
        <v>38</v>
      </c>
      <c r="P46" s="68" t="s">
        <v>39</v>
      </c>
      <c r="Q46" s="68" t="s">
        <v>38</v>
      </c>
      <c r="R46" s="68" t="s">
        <v>36</v>
      </c>
      <c r="S46" s="49"/>
      <c r="T46" s="49"/>
      <c r="U46" s="49"/>
      <c r="V46" s="52"/>
    </row>
    <row r="47" spans="2:22">
      <c r="B47" s="44" t="s">
        <v>40</v>
      </c>
      <c r="C47" s="45" t="str">
        <f>辅助表格!C55&amp;"远程"</f>
        <v>第20波远程</v>
      </c>
      <c r="D47" s="92">
        <f>辅助表格!G55</f>
        <v>29881.5197947445</v>
      </c>
      <c r="E47" s="90">
        <f t="shared" si="1"/>
        <v>18.6759498717153</v>
      </c>
      <c r="F47" s="93">
        <f>辅助表格!E55</f>
        <v>29881.5197947445</v>
      </c>
      <c r="G47" s="69">
        <v>1.5</v>
      </c>
      <c r="H47" s="46" t="s">
        <v>36</v>
      </c>
      <c r="I47" s="46">
        <v>425</v>
      </c>
      <c r="J47" s="46">
        <v>20000</v>
      </c>
      <c r="K47" s="48" t="s">
        <v>37</v>
      </c>
      <c r="L47" s="48">
        <v>0</v>
      </c>
      <c r="M47" s="48">
        <v>1</v>
      </c>
      <c r="N47" s="99">
        <v>20</v>
      </c>
      <c r="O47" s="46" t="s">
        <v>38</v>
      </c>
      <c r="P47" s="68" t="s">
        <v>39</v>
      </c>
      <c r="Q47" s="68" t="s">
        <v>38</v>
      </c>
      <c r="R47" s="68" t="s">
        <v>36</v>
      </c>
      <c r="S47" s="49"/>
      <c r="T47" s="49"/>
      <c r="U47" s="49"/>
      <c r="V47" s="52"/>
    </row>
    <row r="48" spans="2:22">
      <c r="B48" s="44" t="s">
        <v>40</v>
      </c>
      <c r="C48" s="45" t="str">
        <f>辅助表格!C56&amp;"远程"</f>
        <v>第21波远程</v>
      </c>
      <c r="D48" s="92">
        <f>辅助表格!G56</f>
        <v>41834.1277126424</v>
      </c>
      <c r="E48" s="90">
        <f t="shared" si="1"/>
        <v>26.1463298204015</v>
      </c>
      <c r="F48" s="93">
        <f>辅助表格!E56</f>
        <v>41834.1277126424</v>
      </c>
      <c r="G48" s="69">
        <v>1.5</v>
      </c>
      <c r="H48" s="46" t="s">
        <v>36</v>
      </c>
      <c r="I48" s="46">
        <v>425</v>
      </c>
      <c r="J48" s="46">
        <v>20000</v>
      </c>
      <c r="K48" s="48" t="s">
        <v>37</v>
      </c>
      <c r="L48" s="48">
        <v>0</v>
      </c>
      <c r="M48" s="48">
        <v>1</v>
      </c>
      <c r="N48" s="99">
        <v>21</v>
      </c>
      <c r="O48" s="46" t="s">
        <v>38</v>
      </c>
      <c r="P48" s="68" t="s">
        <v>39</v>
      </c>
      <c r="Q48" s="68" t="s">
        <v>38</v>
      </c>
      <c r="R48" s="68" t="s">
        <v>36</v>
      </c>
      <c r="S48" s="49"/>
      <c r="T48" s="49"/>
      <c r="U48" s="49"/>
      <c r="V48" s="52"/>
    </row>
    <row r="49" spans="2:22">
      <c r="B49" s="44" t="s">
        <v>40</v>
      </c>
      <c r="C49" s="45" t="str">
        <f>辅助表格!C57&amp;"远程"</f>
        <v>第22波远程</v>
      </c>
      <c r="D49" s="92">
        <f>辅助表格!G57</f>
        <v>58567.7787976993</v>
      </c>
      <c r="E49" s="90">
        <f t="shared" si="1"/>
        <v>36.6048617485621</v>
      </c>
      <c r="F49" s="93">
        <f>辅助表格!E57</f>
        <v>58567.7787976993</v>
      </c>
      <c r="G49" s="69">
        <v>1.5</v>
      </c>
      <c r="H49" s="46" t="s">
        <v>36</v>
      </c>
      <c r="I49" s="46">
        <v>425</v>
      </c>
      <c r="J49" s="46">
        <v>20000</v>
      </c>
      <c r="K49" s="48" t="s">
        <v>37</v>
      </c>
      <c r="L49" s="48">
        <v>0</v>
      </c>
      <c r="M49" s="48">
        <v>1</v>
      </c>
      <c r="N49" s="99">
        <v>22</v>
      </c>
      <c r="O49" s="46" t="s">
        <v>38</v>
      </c>
      <c r="P49" s="68" t="s">
        <v>39</v>
      </c>
      <c r="Q49" s="68" t="s">
        <v>38</v>
      </c>
      <c r="R49" s="68" t="s">
        <v>36</v>
      </c>
      <c r="S49" s="49"/>
      <c r="T49" s="49"/>
      <c r="U49" s="49"/>
      <c r="V49" s="52"/>
    </row>
    <row r="50" spans="2:22">
      <c r="B50" s="44" t="s">
        <v>40</v>
      </c>
      <c r="C50" s="45" t="str">
        <f>辅助表格!C58&amp;"远程"</f>
        <v>第23波远程</v>
      </c>
      <c r="D50" s="92">
        <f>辅助表格!G58</f>
        <v>81994.890316779</v>
      </c>
      <c r="E50" s="90">
        <f t="shared" si="1"/>
        <v>51.2468064479869</v>
      </c>
      <c r="F50" s="93">
        <f>辅助表格!E58</f>
        <v>81994.890316779</v>
      </c>
      <c r="G50" s="69">
        <v>1.5</v>
      </c>
      <c r="H50" s="46" t="s">
        <v>36</v>
      </c>
      <c r="I50" s="46">
        <v>425</v>
      </c>
      <c r="J50" s="46">
        <v>20000</v>
      </c>
      <c r="K50" s="48" t="s">
        <v>37</v>
      </c>
      <c r="L50" s="48">
        <v>0</v>
      </c>
      <c r="M50" s="48">
        <v>1</v>
      </c>
      <c r="N50" s="99">
        <v>23</v>
      </c>
      <c r="O50" s="46" t="s">
        <v>38</v>
      </c>
      <c r="P50" s="68" t="s">
        <v>39</v>
      </c>
      <c r="Q50" s="68" t="s">
        <v>38</v>
      </c>
      <c r="R50" s="68" t="s">
        <v>36</v>
      </c>
      <c r="S50" s="49"/>
      <c r="T50" s="49"/>
      <c r="U50" s="49"/>
      <c r="V50" s="52"/>
    </row>
    <row r="51" spans="2:22">
      <c r="B51" s="44" t="s">
        <v>40</v>
      </c>
      <c r="C51" s="45" t="str">
        <f>辅助表格!C59&amp;"远程"</f>
        <v>第24波远程</v>
      </c>
      <c r="D51" s="92">
        <f>辅助表格!G59</f>
        <v>114792.846443491</v>
      </c>
      <c r="E51" s="90">
        <f t="shared" si="1"/>
        <v>71.7455290271816</v>
      </c>
      <c r="F51" s="93">
        <f>辅助表格!E59</f>
        <v>114792.846443491</v>
      </c>
      <c r="G51" s="69">
        <v>1.5</v>
      </c>
      <c r="H51" s="46" t="s">
        <v>36</v>
      </c>
      <c r="I51" s="46">
        <v>425</v>
      </c>
      <c r="J51" s="46">
        <v>20000</v>
      </c>
      <c r="K51" s="48" t="s">
        <v>37</v>
      </c>
      <c r="L51" s="48">
        <v>0</v>
      </c>
      <c r="M51" s="48">
        <v>1</v>
      </c>
      <c r="N51" s="99">
        <v>24</v>
      </c>
      <c r="O51" s="46" t="s">
        <v>38</v>
      </c>
      <c r="P51" s="68" t="s">
        <v>39</v>
      </c>
      <c r="Q51" s="68" t="s">
        <v>38</v>
      </c>
      <c r="R51" s="68" t="s">
        <v>36</v>
      </c>
      <c r="S51" s="49"/>
      <c r="T51" s="49"/>
      <c r="U51" s="49"/>
      <c r="V51" s="52"/>
    </row>
    <row r="52" spans="2:22">
      <c r="B52" s="44" t="s">
        <v>40</v>
      </c>
      <c r="C52" s="45" t="str">
        <f>辅助表格!C60&amp;"远程"</f>
        <v>第25波远程</v>
      </c>
      <c r="D52" s="92">
        <f>辅助表格!G60</f>
        <v>160709.985020887</v>
      </c>
      <c r="E52" s="90">
        <f t="shared" si="1"/>
        <v>100.443740638054</v>
      </c>
      <c r="F52" s="93">
        <f>辅助表格!E60</f>
        <v>160709.985020887</v>
      </c>
      <c r="G52" s="69">
        <v>1.5</v>
      </c>
      <c r="H52" s="46" t="s">
        <v>36</v>
      </c>
      <c r="I52" s="46">
        <v>425</v>
      </c>
      <c r="J52" s="46">
        <v>20000</v>
      </c>
      <c r="K52" s="48" t="s">
        <v>37</v>
      </c>
      <c r="L52" s="48">
        <v>0</v>
      </c>
      <c r="M52" s="48">
        <v>1</v>
      </c>
      <c r="N52" s="99">
        <v>25</v>
      </c>
      <c r="O52" s="46" t="s">
        <v>38</v>
      </c>
      <c r="P52" s="68" t="s">
        <v>39</v>
      </c>
      <c r="Q52" s="68" t="s">
        <v>38</v>
      </c>
      <c r="R52" s="68" t="s">
        <v>36</v>
      </c>
      <c r="S52" s="49"/>
      <c r="T52" s="49"/>
      <c r="U52" s="49"/>
      <c r="V52" s="52"/>
    </row>
    <row r="53" spans="2:22">
      <c r="B53" s="44" t="s">
        <v>41</v>
      </c>
      <c r="C53" s="45"/>
      <c r="D53" s="94"/>
      <c r="E53" s="95"/>
      <c r="F53" s="96"/>
      <c r="G53" s="69"/>
      <c r="H53" s="46"/>
      <c r="I53" s="46"/>
      <c r="J53" s="46"/>
      <c r="K53" s="50"/>
      <c r="L53" s="50"/>
      <c r="M53" s="50"/>
      <c r="N53" s="99"/>
      <c r="O53" s="46"/>
      <c r="P53" s="49"/>
      <c r="Q53" s="49"/>
      <c r="R53" s="49"/>
      <c r="S53" s="49"/>
      <c r="T53" s="49"/>
      <c r="U53" s="49"/>
      <c r="V53" s="52"/>
    </row>
    <row r="54" spans="2:22">
      <c r="B54" s="44" t="s">
        <v>41</v>
      </c>
      <c r="C54" s="45"/>
      <c r="D54" s="94"/>
      <c r="E54" s="95"/>
      <c r="F54" s="96"/>
      <c r="G54" s="69"/>
      <c r="H54" s="46"/>
      <c r="I54" s="46"/>
      <c r="J54" s="46"/>
      <c r="K54" s="50"/>
      <c r="L54" s="50"/>
      <c r="M54" s="50"/>
      <c r="N54" s="99"/>
      <c r="O54" s="46"/>
      <c r="P54" s="49"/>
      <c r="Q54" s="49"/>
      <c r="R54" s="49"/>
      <c r="S54" s="49"/>
      <c r="T54" s="49"/>
      <c r="U54" s="49"/>
      <c r="V54" s="52"/>
    </row>
    <row r="55" spans="2:22">
      <c r="B55" s="44" t="s">
        <v>41</v>
      </c>
      <c r="C55" s="74"/>
      <c r="D55" s="94"/>
      <c r="E55" s="95"/>
      <c r="F55" s="96"/>
      <c r="G55" s="69"/>
      <c r="H55" s="46"/>
      <c r="I55" s="46"/>
      <c r="J55" s="46"/>
      <c r="K55" s="50"/>
      <c r="L55" s="50"/>
      <c r="M55" s="50"/>
      <c r="N55" s="99"/>
      <c r="O55" s="46"/>
      <c r="P55" s="49"/>
      <c r="Q55" s="49"/>
      <c r="R55" s="49"/>
      <c r="S55" s="49"/>
      <c r="T55" s="49"/>
      <c r="U55" s="49"/>
      <c r="V55" s="52"/>
    </row>
    <row r="56" spans="2:22">
      <c r="B56" s="44" t="s">
        <v>41</v>
      </c>
      <c r="C56" s="74"/>
      <c r="D56" s="73"/>
      <c r="E56" s="73"/>
      <c r="F56" s="73"/>
      <c r="G56" s="73"/>
      <c r="H56" s="46"/>
      <c r="I56" s="46"/>
      <c r="J56" s="46"/>
      <c r="K56" s="50"/>
      <c r="L56" s="50"/>
      <c r="M56" s="50"/>
      <c r="N56" s="99"/>
      <c r="O56" s="46"/>
      <c r="P56" s="49"/>
      <c r="Q56" s="49"/>
      <c r="R56" s="49"/>
      <c r="S56" s="49"/>
      <c r="T56" s="49"/>
      <c r="U56" s="49"/>
      <c r="V56" s="52"/>
    </row>
    <row r="57" spans="2:22">
      <c r="B57" s="44" t="s">
        <v>41</v>
      </c>
      <c r="C57" s="74"/>
      <c r="D57" s="73"/>
      <c r="E57" s="73"/>
      <c r="F57" s="73"/>
      <c r="G57" s="73"/>
      <c r="H57" s="46"/>
      <c r="I57" s="46"/>
      <c r="J57" s="46"/>
      <c r="K57" s="50"/>
      <c r="L57" s="50"/>
      <c r="M57" s="50"/>
      <c r="N57" s="99"/>
      <c r="O57" s="46"/>
      <c r="P57" s="49"/>
      <c r="Q57" s="49"/>
      <c r="R57" s="49"/>
      <c r="S57" s="49"/>
      <c r="T57" s="49"/>
      <c r="U57" s="49"/>
      <c r="V57" s="52"/>
    </row>
    <row r="58" spans="2:22">
      <c r="B58" s="44" t="s">
        <v>41</v>
      </c>
      <c r="C58" s="97"/>
      <c r="D58" s="73"/>
      <c r="E58" s="73"/>
      <c r="F58" s="73"/>
      <c r="G58" s="73"/>
      <c r="H58" s="46"/>
      <c r="I58" s="46"/>
      <c r="J58" s="46"/>
      <c r="K58" s="50"/>
      <c r="L58" s="50"/>
      <c r="M58" s="50"/>
      <c r="N58" s="99"/>
      <c r="O58" s="46"/>
      <c r="P58" s="49"/>
      <c r="Q58" s="49"/>
      <c r="R58" s="49"/>
      <c r="S58" s="49"/>
      <c r="T58" s="49"/>
      <c r="U58" s="49"/>
      <c r="V58" s="52"/>
    </row>
    <row r="59" spans="2:22">
      <c r="B59" s="44" t="s">
        <v>41</v>
      </c>
      <c r="C59" s="97"/>
      <c r="D59" s="73"/>
      <c r="E59" s="73"/>
      <c r="F59" s="73"/>
      <c r="G59" s="73"/>
      <c r="H59" s="46"/>
      <c r="I59" s="46"/>
      <c r="J59" s="46"/>
      <c r="K59" s="50"/>
      <c r="L59" s="50"/>
      <c r="M59" s="50"/>
      <c r="N59" s="99"/>
      <c r="O59" s="46"/>
      <c r="P59" s="49"/>
      <c r="Q59" s="49"/>
      <c r="R59" s="49"/>
      <c r="S59" s="49"/>
      <c r="T59" s="49"/>
      <c r="U59" s="49"/>
      <c r="V59" s="52"/>
    </row>
    <row r="60" spans="2:22">
      <c r="B60" s="44" t="s">
        <v>41</v>
      </c>
      <c r="C60" s="97"/>
      <c r="D60" s="73"/>
      <c r="E60" s="73"/>
      <c r="F60" s="73"/>
      <c r="G60" s="73"/>
      <c r="H60" s="46"/>
      <c r="I60" s="46"/>
      <c r="J60" s="46"/>
      <c r="K60" s="50"/>
      <c r="L60" s="50"/>
      <c r="M60" s="50"/>
      <c r="N60" s="99"/>
      <c r="O60" s="46"/>
      <c r="P60" s="49"/>
      <c r="Q60" s="49"/>
      <c r="R60" s="49"/>
      <c r="S60" s="49"/>
      <c r="T60" s="49"/>
      <c r="U60" s="49"/>
      <c r="V60" s="52"/>
    </row>
    <row r="61" spans="2:22">
      <c r="B61" s="44" t="s">
        <v>41</v>
      </c>
      <c r="C61" s="97"/>
      <c r="D61" s="73"/>
      <c r="E61" s="73"/>
      <c r="F61" s="73"/>
      <c r="G61" s="73"/>
      <c r="H61" s="46"/>
      <c r="I61" s="46"/>
      <c r="J61" s="46"/>
      <c r="K61" s="50"/>
      <c r="L61" s="50"/>
      <c r="M61" s="50"/>
      <c r="N61" s="99"/>
      <c r="O61" s="46"/>
      <c r="P61" s="49"/>
      <c r="Q61" s="49"/>
      <c r="R61" s="49"/>
      <c r="S61" s="49"/>
      <c r="T61" s="49"/>
      <c r="U61" s="49"/>
      <c r="V61" s="52"/>
    </row>
    <row r="62" spans="2:22">
      <c r="B62" s="44" t="s">
        <v>41</v>
      </c>
      <c r="C62" s="97"/>
      <c r="D62" s="73"/>
      <c r="E62" s="73"/>
      <c r="F62" s="73"/>
      <c r="G62" s="73"/>
      <c r="H62" s="46"/>
      <c r="I62" s="46"/>
      <c r="J62" s="46"/>
      <c r="K62" s="50"/>
      <c r="L62" s="50"/>
      <c r="M62" s="50"/>
      <c r="N62" s="99"/>
      <c r="O62" s="46"/>
      <c r="P62" s="49"/>
      <c r="Q62" s="49"/>
      <c r="R62" s="49"/>
      <c r="S62" s="49"/>
      <c r="T62" s="49"/>
      <c r="U62" s="49"/>
      <c r="V62" s="52"/>
    </row>
    <row r="63" spans="2:22">
      <c r="B63" s="44" t="s">
        <v>41</v>
      </c>
      <c r="C63" s="97"/>
      <c r="D63" s="73"/>
      <c r="E63" s="73"/>
      <c r="F63" s="73"/>
      <c r="G63" s="73"/>
      <c r="H63" s="46"/>
      <c r="I63" s="46"/>
      <c r="J63" s="46"/>
      <c r="K63" s="50"/>
      <c r="L63" s="50"/>
      <c r="M63" s="50"/>
      <c r="N63" s="99"/>
      <c r="O63" s="46"/>
      <c r="P63" s="49"/>
      <c r="Q63" s="49"/>
      <c r="R63" s="49"/>
      <c r="S63" s="49"/>
      <c r="T63" s="49"/>
      <c r="U63" s="49"/>
      <c r="V63" s="52"/>
    </row>
    <row r="64" spans="2:22">
      <c r="B64" s="44" t="s">
        <v>41</v>
      </c>
      <c r="C64" s="97"/>
      <c r="D64" s="73"/>
      <c r="E64" s="73"/>
      <c r="F64" s="73"/>
      <c r="G64" s="73"/>
      <c r="H64" s="46"/>
      <c r="I64" s="46"/>
      <c r="J64" s="46"/>
      <c r="K64" s="50"/>
      <c r="L64" s="50"/>
      <c r="M64" s="50"/>
      <c r="N64" s="99"/>
      <c r="O64" s="46"/>
      <c r="P64" s="49"/>
      <c r="Q64" s="49"/>
      <c r="R64" s="49"/>
      <c r="S64" s="49"/>
      <c r="T64" s="49"/>
      <c r="U64" s="49"/>
      <c r="V64" s="52"/>
    </row>
    <row r="65" spans="2:22">
      <c r="B65" s="44" t="s">
        <v>41</v>
      </c>
      <c r="C65" s="77"/>
      <c r="D65" s="73"/>
      <c r="E65" s="73"/>
      <c r="F65" s="73"/>
      <c r="G65" s="73"/>
      <c r="H65" s="46"/>
      <c r="I65" s="46"/>
      <c r="J65" s="46"/>
      <c r="K65" s="50"/>
      <c r="L65" s="50"/>
      <c r="M65" s="50"/>
      <c r="N65" s="99"/>
      <c r="O65" s="46"/>
      <c r="P65" s="49"/>
      <c r="Q65" s="49"/>
      <c r="R65" s="49"/>
      <c r="S65" s="49"/>
      <c r="T65" s="49"/>
      <c r="U65" s="49"/>
      <c r="V65" s="52"/>
    </row>
    <row r="66" spans="2:22">
      <c r="B66" s="44" t="s">
        <v>41</v>
      </c>
      <c r="C66" s="77"/>
      <c r="D66" s="73"/>
      <c r="E66" s="73"/>
      <c r="F66" s="73"/>
      <c r="G66" s="73"/>
      <c r="H66" s="46"/>
      <c r="I66" s="46"/>
      <c r="J66" s="46"/>
      <c r="K66" s="50"/>
      <c r="L66" s="50"/>
      <c r="M66" s="50"/>
      <c r="N66" s="99"/>
      <c r="O66" s="46"/>
      <c r="P66" s="49"/>
      <c r="Q66" s="49"/>
      <c r="R66" s="49"/>
      <c r="S66" s="49"/>
      <c r="T66" s="49"/>
      <c r="U66" s="49"/>
      <c r="V66" s="52"/>
    </row>
    <row r="67" spans="2:22">
      <c r="B67" s="44" t="s">
        <v>41</v>
      </c>
      <c r="C67" s="77"/>
      <c r="D67" s="73"/>
      <c r="E67" s="73"/>
      <c r="F67" s="73"/>
      <c r="G67" s="73"/>
      <c r="H67" s="46"/>
      <c r="I67" s="46"/>
      <c r="J67" s="46"/>
      <c r="K67" s="50"/>
      <c r="L67" s="50"/>
      <c r="M67" s="50"/>
      <c r="N67" s="99"/>
      <c r="O67" s="46"/>
      <c r="P67" s="49"/>
      <c r="Q67" s="49"/>
      <c r="R67" s="49"/>
      <c r="S67" s="49"/>
      <c r="T67" s="49"/>
      <c r="U67" s="49"/>
      <c r="V67" s="52"/>
    </row>
    <row r="68" spans="2:22">
      <c r="B68" s="44" t="s">
        <v>41</v>
      </c>
      <c r="C68" s="77"/>
      <c r="D68" s="100"/>
      <c r="E68" s="78"/>
      <c r="F68" s="79"/>
      <c r="G68" s="80"/>
      <c r="H68" s="46"/>
      <c r="I68" s="46"/>
      <c r="J68" s="46"/>
      <c r="K68" s="50"/>
      <c r="L68" s="50"/>
      <c r="M68" s="50"/>
      <c r="N68" s="99"/>
      <c r="O68" s="46"/>
      <c r="P68" s="49"/>
      <c r="Q68" s="49"/>
      <c r="R68" s="49"/>
      <c r="S68" s="49"/>
      <c r="T68" s="49"/>
      <c r="U68" s="49"/>
      <c r="V68" s="52"/>
    </row>
    <row r="69" spans="2:22">
      <c r="B69" s="44" t="s">
        <v>41</v>
      </c>
      <c r="C69" s="77"/>
      <c r="D69" s="100"/>
      <c r="E69" s="78"/>
      <c r="F69" s="79"/>
      <c r="G69" s="80"/>
      <c r="H69" s="46"/>
      <c r="I69" s="46"/>
      <c r="J69" s="46"/>
      <c r="K69" s="50"/>
      <c r="L69" s="50"/>
      <c r="M69" s="50"/>
      <c r="N69" s="99"/>
      <c r="O69" s="46"/>
      <c r="P69" s="49"/>
      <c r="Q69" s="49"/>
      <c r="R69" s="49"/>
      <c r="S69" s="49"/>
      <c r="T69" s="49"/>
      <c r="U69" s="49"/>
      <c r="V69" s="52"/>
    </row>
    <row r="70" spans="2:22">
      <c r="B70" s="44" t="s">
        <v>41</v>
      </c>
      <c r="C70" s="77"/>
      <c r="D70" s="100"/>
      <c r="E70" s="78"/>
      <c r="F70" s="79"/>
      <c r="G70" s="80"/>
      <c r="H70" s="46"/>
      <c r="I70" s="46"/>
      <c r="J70" s="46"/>
      <c r="K70" s="50"/>
      <c r="L70" s="50"/>
      <c r="M70" s="50"/>
      <c r="N70" s="99"/>
      <c r="O70" s="46"/>
      <c r="P70" s="49"/>
      <c r="Q70" s="49"/>
      <c r="R70" s="49"/>
      <c r="S70" s="49"/>
      <c r="T70" s="49"/>
      <c r="U70" s="49"/>
      <c r="V70" s="52"/>
    </row>
    <row r="71" spans="2:22">
      <c r="B71" s="44" t="s">
        <v>41</v>
      </c>
      <c r="C71" s="77"/>
      <c r="D71" s="100"/>
      <c r="E71" s="78"/>
      <c r="F71" s="79"/>
      <c r="G71" s="80"/>
      <c r="H71" s="46"/>
      <c r="I71" s="46"/>
      <c r="J71" s="46"/>
      <c r="K71" s="50"/>
      <c r="L71" s="50"/>
      <c r="M71" s="50"/>
      <c r="N71" s="99"/>
      <c r="O71" s="46"/>
      <c r="P71" s="49"/>
      <c r="Q71" s="49"/>
      <c r="R71" s="49"/>
      <c r="S71" s="49"/>
      <c r="T71" s="49"/>
      <c r="U71" s="49"/>
      <c r="V71" s="52"/>
    </row>
    <row r="72" spans="2:22">
      <c r="B72" s="44" t="s">
        <v>41</v>
      </c>
      <c r="C72" s="77"/>
      <c r="D72" s="100"/>
      <c r="E72" s="78"/>
      <c r="F72" s="79"/>
      <c r="G72" s="80"/>
      <c r="H72" s="46"/>
      <c r="I72" s="46"/>
      <c r="J72" s="46"/>
      <c r="K72" s="50"/>
      <c r="L72" s="50"/>
      <c r="M72" s="50"/>
      <c r="N72" s="99"/>
      <c r="O72" s="46"/>
      <c r="P72" s="49"/>
      <c r="Q72" s="49"/>
      <c r="R72" s="49"/>
      <c r="S72" s="49"/>
      <c r="T72" s="49"/>
      <c r="U72" s="49"/>
      <c r="V72" s="52"/>
    </row>
    <row r="73" spans="2:22">
      <c r="B73" s="44" t="s">
        <v>41</v>
      </c>
      <c r="C73" s="77"/>
      <c r="D73" s="100"/>
      <c r="E73" s="78"/>
      <c r="F73" s="79"/>
      <c r="G73" s="80"/>
      <c r="H73" s="46"/>
      <c r="I73" s="46"/>
      <c r="J73" s="46"/>
      <c r="K73" s="50"/>
      <c r="L73" s="50"/>
      <c r="M73" s="50"/>
      <c r="N73" s="99"/>
      <c r="O73" s="46"/>
      <c r="P73" s="49"/>
      <c r="Q73" s="49"/>
      <c r="R73" s="49"/>
      <c r="S73" s="49"/>
      <c r="T73" s="49"/>
      <c r="U73" s="49"/>
      <c r="V73" s="52"/>
    </row>
    <row r="74" spans="2:22">
      <c r="B74" s="44" t="s">
        <v>41</v>
      </c>
      <c r="C74" s="77"/>
      <c r="D74" s="100"/>
      <c r="E74" s="78"/>
      <c r="F74" s="79"/>
      <c r="G74" s="80"/>
      <c r="H74" s="46"/>
      <c r="I74" s="46"/>
      <c r="J74" s="46"/>
      <c r="K74" s="50"/>
      <c r="L74" s="50"/>
      <c r="M74" s="50"/>
      <c r="N74" s="99"/>
      <c r="O74" s="46"/>
      <c r="P74" s="49"/>
      <c r="Q74" s="49"/>
      <c r="R74" s="49"/>
      <c r="S74" s="49"/>
      <c r="T74" s="49"/>
      <c r="U74" s="49"/>
      <c r="V74" s="52"/>
    </row>
    <row r="75" spans="2:22">
      <c r="B75" s="44" t="s">
        <v>41</v>
      </c>
      <c r="C75" s="77"/>
      <c r="D75" s="100"/>
      <c r="E75" s="78"/>
      <c r="F75" s="79"/>
      <c r="G75" s="80"/>
      <c r="H75" s="46"/>
      <c r="I75" s="46"/>
      <c r="J75" s="46"/>
      <c r="K75" s="50"/>
      <c r="L75" s="50"/>
      <c r="M75" s="50"/>
      <c r="N75" s="99"/>
      <c r="O75" s="46"/>
      <c r="P75" s="49"/>
      <c r="Q75" s="49"/>
      <c r="R75" s="49"/>
      <c r="S75" s="49"/>
      <c r="T75" s="49"/>
      <c r="U75" s="49"/>
      <c r="V75" s="52"/>
    </row>
    <row r="76" spans="2:22">
      <c r="B76" s="44" t="s">
        <v>41</v>
      </c>
      <c r="C76" s="77"/>
      <c r="D76" s="100"/>
      <c r="E76" s="78"/>
      <c r="F76" s="79"/>
      <c r="G76" s="80"/>
      <c r="H76" s="46"/>
      <c r="I76" s="46"/>
      <c r="J76" s="46"/>
      <c r="K76" s="50"/>
      <c r="L76" s="50"/>
      <c r="M76" s="50"/>
      <c r="N76" s="99"/>
      <c r="O76" s="46"/>
      <c r="P76" s="49"/>
      <c r="Q76" s="49"/>
      <c r="R76" s="49"/>
      <c r="S76" s="49"/>
      <c r="T76" s="49"/>
      <c r="U76" s="49"/>
      <c r="V76" s="52"/>
    </row>
    <row r="77" spans="2:22">
      <c r="B77" s="44" t="s">
        <v>41</v>
      </c>
      <c r="C77" s="77"/>
      <c r="D77" s="100"/>
      <c r="E77" s="78"/>
      <c r="F77" s="79"/>
      <c r="G77" s="80"/>
      <c r="H77" s="46"/>
      <c r="I77" s="46"/>
      <c r="J77" s="46"/>
      <c r="K77" s="50"/>
      <c r="L77" s="50"/>
      <c r="M77" s="50"/>
      <c r="N77" s="99"/>
      <c r="O77" s="46"/>
      <c r="P77" s="49"/>
      <c r="Q77" s="49"/>
      <c r="R77" s="49"/>
      <c r="S77" s="49"/>
      <c r="T77" s="49"/>
      <c r="U77" s="49"/>
      <c r="V77" s="52"/>
    </row>
    <row r="78" spans="2:22">
      <c r="B78" s="44" t="s">
        <v>41</v>
      </c>
      <c r="C78" s="77"/>
      <c r="D78" s="100"/>
      <c r="E78" s="78"/>
      <c r="F78" s="79"/>
      <c r="G78" s="80"/>
      <c r="H78" s="46"/>
      <c r="I78" s="46"/>
      <c r="J78" s="46"/>
      <c r="K78" s="50"/>
      <c r="L78" s="50"/>
      <c r="M78" s="50"/>
      <c r="N78" s="99"/>
      <c r="O78" s="46"/>
      <c r="P78" s="49"/>
      <c r="Q78" s="49"/>
      <c r="R78" s="49"/>
      <c r="S78" s="49"/>
      <c r="T78" s="49"/>
      <c r="U78" s="49"/>
      <c r="V78" s="52"/>
    </row>
    <row r="79" spans="2:22">
      <c r="B79" s="44" t="s">
        <v>41</v>
      </c>
      <c r="C79" s="77"/>
      <c r="D79" s="100"/>
      <c r="E79" s="78"/>
      <c r="F79" s="79"/>
      <c r="G79" s="80"/>
      <c r="H79" s="46"/>
      <c r="I79" s="46"/>
      <c r="J79" s="46"/>
      <c r="K79" s="50"/>
      <c r="L79" s="50"/>
      <c r="M79" s="50"/>
      <c r="N79" s="99"/>
      <c r="O79" s="46"/>
      <c r="P79" s="49"/>
      <c r="Q79" s="49"/>
      <c r="R79" s="49"/>
      <c r="S79" s="49"/>
      <c r="T79" s="49"/>
      <c r="U79" s="49"/>
      <c r="V79" s="52"/>
    </row>
    <row r="80" spans="2:22">
      <c r="B80" s="44" t="s">
        <v>41</v>
      </c>
      <c r="C80" s="77"/>
      <c r="D80" s="100"/>
      <c r="E80" s="78"/>
      <c r="F80" s="79"/>
      <c r="G80" s="80"/>
      <c r="H80" s="46"/>
      <c r="I80" s="46"/>
      <c r="J80" s="46"/>
      <c r="K80" s="50"/>
      <c r="L80" s="50"/>
      <c r="M80" s="50"/>
      <c r="N80" s="99"/>
      <c r="O80" s="46"/>
      <c r="P80" s="49"/>
      <c r="Q80" s="49"/>
      <c r="R80" s="49"/>
      <c r="S80" s="49"/>
      <c r="T80" s="49"/>
      <c r="U80" s="49"/>
      <c r="V80" s="52"/>
    </row>
    <row r="81" spans="2:22">
      <c r="B81" s="44" t="s">
        <v>41</v>
      </c>
      <c r="C81" s="77"/>
      <c r="D81" s="100"/>
      <c r="E81" s="78"/>
      <c r="F81" s="79"/>
      <c r="G81" s="80"/>
      <c r="H81" s="46"/>
      <c r="I81" s="46"/>
      <c r="J81" s="46"/>
      <c r="K81" s="50"/>
      <c r="L81" s="50"/>
      <c r="M81" s="50"/>
      <c r="N81" s="99"/>
      <c r="O81" s="46"/>
      <c r="P81" s="49"/>
      <c r="Q81" s="49"/>
      <c r="R81" s="49"/>
      <c r="S81" s="49"/>
      <c r="T81" s="49"/>
      <c r="U81" s="49"/>
      <c r="V81" s="52"/>
    </row>
    <row r="82" spans="2:22">
      <c r="B82" s="44" t="s">
        <v>41</v>
      </c>
      <c r="C82" s="77"/>
      <c r="D82" s="100"/>
      <c r="E82" s="78"/>
      <c r="F82" s="79"/>
      <c r="G82" s="80"/>
      <c r="H82" s="46"/>
      <c r="I82" s="46"/>
      <c r="J82" s="46"/>
      <c r="K82" s="50"/>
      <c r="L82" s="50"/>
      <c r="M82" s="50"/>
      <c r="N82" s="99"/>
      <c r="O82" s="46"/>
      <c r="P82" s="49"/>
      <c r="Q82" s="49"/>
      <c r="R82" s="49"/>
      <c r="S82" s="49"/>
      <c r="T82" s="49"/>
      <c r="U82" s="49"/>
      <c r="V82" s="52"/>
    </row>
    <row r="83" spans="2:22">
      <c r="B83" s="44" t="s">
        <v>41</v>
      </c>
      <c r="C83" s="77"/>
      <c r="D83" s="100"/>
      <c r="E83" s="78"/>
      <c r="F83" s="79"/>
      <c r="G83" s="80"/>
      <c r="H83" s="46"/>
      <c r="I83" s="46"/>
      <c r="J83" s="46"/>
      <c r="K83" s="50"/>
      <c r="L83" s="50"/>
      <c r="M83" s="50"/>
      <c r="N83" s="99"/>
      <c r="O83" s="46"/>
      <c r="P83" s="49"/>
      <c r="Q83" s="49"/>
      <c r="R83" s="49"/>
      <c r="S83" s="49"/>
      <c r="T83" s="49"/>
      <c r="U83" s="49"/>
      <c r="V83" s="52"/>
    </row>
    <row r="84" spans="2:22">
      <c r="B84" s="44" t="s">
        <v>41</v>
      </c>
      <c r="C84" s="77"/>
      <c r="D84" s="100"/>
      <c r="E84" s="78"/>
      <c r="F84" s="79"/>
      <c r="G84" s="80"/>
      <c r="H84" s="46"/>
      <c r="I84" s="46"/>
      <c r="J84" s="46"/>
      <c r="K84" s="50"/>
      <c r="L84" s="50"/>
      <c r="M84" s="50"/>
      <c r="N84" s="99"/>
      <c r="O84" s="46"/>
      <c r="P84" s="49"/>
      <c r="Q84" s="49"/>
      <c r="R84" s="49"/>
      <c r="S84" s="49"/>
      <c r="T84" s="49"/>
      <c r="U84" s="49"/>
      <c r="V84" s="52"/>
    </row>
    <row r="85" spans="2:22">
      <c r="B85" s="44" t="s">
        <v>41</v>
      </c>
      <c r="C85" s="77"/>
      <c r="D85" s="100"/>
      <c r="E85" s="78"/>
      <c r="F85" s="79"/>
      <c r="G85" s="80"/>
      <c r="H85" s="46"/>
      <c r="I85" s="46"/>
      <c r="J85" s="46"/>
      <c r="K85" s="50"/>
      <c r="L85" s="50"/>
      <c r="M85" s="50"/>
      <c r="N85" s="99"/>
      <c r="O85" s="46"/>
      <c r="P85" s="49"/>
      <c r="Q85" s="49"/>
      <c r="R85" s="49"/>
      <c r="S85" s="49"/>
      <c r="T85" s="49"/>
      <c r="U85" s="49"/>
      <c r="V85" s="52"/>
    </row>
    <row r="86" spans="2:22">
      <c r="B86" s="44" t="s">
        <v>41</v>
      </c>
      <c r="C86" s="77"/>
      <c r="D86" s="100"/>
      <c r="E86" s="78"/>
      <c r="F86" s="79"/>
      <c r="G86" s="80"/>
      <c r="H86" s="46"/>
      <c r="I86" s="46"/>
      <c r="J86" s="46"/>
      <c r="K86" s="50"/>
      <c r="L86" s="50"/>
      <c r="M86" s="50"/>
      <c r="N86" s="99"/>
      <c r="O86" s="46"/>
      <c r="P86" s="49"/>
      <c r="Q86" s="49"/>
      <c r="R86" s="49"/>
      <c r="S86" s="49"/>
      <c r="T86" s="49"/>
      <c r="U86" s="49"/>
      <c r="V86" s="52"/>
    </row>
    <row r="87" spans="2:22">
      <c r="B87" s="44" t="s">
        <v>41</v>
      </c>
      <c r="C87" s="77"/>
      <c r="D87" s="100"/>
      <c r="E87" s="78"/>
      <c r="F87" s="79"/>
      <c r="G87" s="80"/>
      <c r="H87" s="46"/>
      <c r="I87" s="46"/>
      <c r="J87" s="46"/>
      <c r="K87" s="50"/>
      <c r="L87" s="50"/>
      <c r="M87" s="50"/>
      <c r="N87" s="99"/>
      <c r="O87" s="46"/>
      <c r="P87" s="49"/>
      <c r="Q87" s="49"/>
      <c r="R87" s="49"/>
      <c r="S87" s="49"/>
      <c r="T87" s="49"/>
      <c r="U87" s="49"/>
      <c r="V87" s="52"/>
    </row>
    <row r="88" spans="2:22">
      <c r="B88" s="44" t="s">
        <v>41</v>
      </c>
      <c r="C88" s="77"/>
      <c r="D88" s="100"/>
      <c r="E88" s="78"/>
      <c r="F88" s="79"/>
      <c r="G88" s="80"/>
      <c r="H88" s="46"/>
      <c r="I88" s="46"/>
      <c r="J88" s="46"/>
      <c r="K88" s="50"/>
      <c r="L88" s="50"/>
      <c r="M88" s="50"/>
      <c r="N88" s="99"/>
      <c r="O88" s="46"/>
      <c r="P88" s="49"/>
      <c r="Q88" s="49"/>
      <c r="R88" s="49"/>
      <c r="S88" s="49"/>
      <c r="T88" s="49"/>
      <c r="U88" s="49"/>
      <c r="V88" s="52"/>
    </row>
    <row r="89" spans="2:22">
      <c r="B89" s="44" t="s">
        <v>41</v>
      </c>
      <c r="C89" s="77"/>
      <c r="D89" s="100"/>
      <c r="E89" s="78"/>
      <c r="F89" s="79"/>
      <c r="G89" s="80"/>
      <c r="H89" s="46"/>
      <c r="I89" s="46"/>
      <c r="J89" s="46"/>
      <c r="K89" s="50"/>
      <c r="L89" s="50"/>
      <c r="M89" s="50"/>
      <c r="N89" s="99"/>
      <c r="O89" s="46"/>
      <c r="P89" s="49"/>
      <c r="Q89" s="49"/>
      <c r="R89" s="49"/>
      <c r="S89" s="49"/>
      <c r="T89" s="49"/>
      <c r="U89" s="49"/>
      <c r="V89" s="52"/>
    </row>
    <row r="90" spans="2:22">
      <c r="B90" s="44" t="s">
        <v>41</v>
      </c>
      <c r="C90" s="77"/>
      <c r="D90" s="100"/>
      <c r="E90" s="78"/>
      <c r="F90" s="79"/>
      <c r="G90" s="80"/>
      <c r="H90" s="46"/>
      <c r="I90" s="46"/>
      <c r="J90" s="46"/>
      <c r="K90" s="50"/>
      <c r="L90" s="50"/>
      <c r="M90" s="50"/>
      <c r="N90" s="99"/>
      <c r="O90" s="46"/>
      <c r="P90" s="49"/>
      <c r="Q90" s="49"/>
      <c r="R90" s="49"/>
      <c r="S90" s="49"/>
      <c r="T90" s="49"/>
      <c r="U90" s="49"/>
      <c r="V90" s="52"/>
    </row>
    <row r="91" spans="2:22">
      <c r="B91" s="44" t="s">
        <v>41</v>
      </c>
      <c r="C91" s="77"/>
      <c r="D91" s="100"/>
      <c r="E91" s="78"/>
      <c r="F91" s="79"/>
      <c r="G91" s="80"/>
      <c r="H91" s="46"/>
      <c r="I91" s="46"/>
      <c r="J91" s="46"/>
      <c r="K91" s="50"/>
      <c r="L91" s="50"/>
      <c r="M91" s="50"/>
      <c r="N91" s="99"/>
      <c r="O91" s="46"/>
      <c r="P91" s="49"/>
      <c r="Q91" s="49"/>
      <c r="R91" s="49"/>
      <c r="S91" s="49"/>
      <c r="T91" s="49"/>
      <c r="U91" s="49"/>
      <c r="V91" s="52"/>
    </row>
    <row r="92" spans="2:22">
      <c r="B92" s="44" t="s">
        <v>41</v>
      </c>
      <c r="C92" s="45"/>
      <c r="D92" s="94"/>
      <c r="E92" s="95"/>
      <c r="F92" s="96"/>
      <c r="G92" s="69"/>
      <c r="H92" s="46"/>
      <c r="I92" s="46"/>
      <c r="J92" s="46"/>
      <c r="K92" s="50"/>
      <c r="L92" s="50"/>
      <c r="M92" s="50"/>
      <c r="N92" s="99"/>
      <c r="O92" s="46"/>
      <c r="P92" s="49"/>
      <c r="Q92" s="49"/>
      <c r="R92" s="49"/>
      <c r="S92" s="49"/>
      <c r="T92" s="49"/>
      <c r="U92" s="49"/>
      <c r="V92" s="52"/>
    </row>
    <row r="93" s="35" customFormat="1" spans="2:22">
      <c r="B93" s="44" t="s">
        <v>41</v>
      </c>
      <c r="C93" s="45"/>
      <c r="D93" s="94"/>
      <c r="E93" s="95"/>
      <c r="F93" s="96"/>
      <c r="G93" s="69"/>
      <c r="H93" s="46"/>
      <c r="I93" s="46"/>
      <c r="J93" s="46"/>
      <c r="K93" s="50"/>
      <c r="L93" s="50"/>
      <c r="M93" s="50"/>
      <c r="N93" s="99"/>
      <c r="O93" s="46"/>
      <c r="P93" s="48"/>
      <c r="Q93" s="48"/>
      <c r="R93" s="48"/>
      <c r="S93" s="48"/>
      <c r="T93" s="48"/>
      <c r="U93" s="48"/>
      <c r="V93" s="60"/>
    </row>
    <row r="94" s="35" customFormat="1" spans="2:22">
      <c r="B94" s="44" t="s">
        <v>41</v>
      </c>
      <c r="C94" s="45"/>
      <c r="D94" s="94"/>
      <c r="E94" s="95"/>
      <c r="F94" s="96"/>
      <c r="G94" s="69"/>
      <c r="H94" s="46"/>
      <c r="I94" s="46"/>
      <c r="J94" s="46"/>
      <c r="K94" s="50"/>
      <c r="L94" s="50"/>
      <c r="M94" s="50"/>
      <c r="N94" s="99"/>
      <c r="O94" s="46"/>
      <c r="P94" s="48"/>
      <c r="Q94" s="48"/>
      <c r="R94" s="48"/>
      <c r="S94" s="48"/>
      <c r="T94" s="48"/>
      <c r="U94" s="48"/>
      <c r="V94" s="60"/>
    </row>
    <row r="95" s="35" customFormat="1" spans="2:22">
      <c r="B95" s="44" t="s">
        <v>41</v>
      </c>
      <c r="C95" s="45"/>
      <c r="D95" s="94"/>
      <c r="E95" s="95"/>
      <c r="F95" s="96"/>
      <c r="G95" s="69"/>
      <c r="H95" s="46"/>
      <c r="I95" s="46"/>
      <c r="J95" s="46"/>
      <c r="K95" s="50"/>
      <c r="L95" s="50"/>
      <c r="M95" s="50"/>
      <c r="N95" s="99"/>
      <c r="O95" s="46"/>
      <c r="P95" s="48"/>
      <c r="Q95" s="48"/>
      <c r="R95" s="48"/>
      <c r="S95" s="48"/>
      <c r="T95" s="48"/>
      <c r="U95" s="48"/>
      <c r="V95" s="60"/>
    </row>
    <row r="96" s="35" customFormat="1" spans="2:22">
      <c r="B96" s="44" t="s">
        <v>41</v>
      </c>
      <c r="C96" s="45"/>
      <c r="D96" s="94"/>
      <c r="E96" s="95"/>
      <c r="F96" s="96"/>
      <c r="G96" s="69"/>
      <c r="H96" s="46"/>
      <c r="I96" s="46"/>
      <c r="J96" s="46"/>
      <c r="K96" s="50"/>
      <c r="L96" s="50"/>
      <c r="M96" s="50"/>
      <c r="N96" s="99"/>
      <c r="O96" s="46"/>
      <c r="P96" s="48"/>
      <c r="Q96" s="48"/>
      <c r="R96" s="48"/>
      <c r="S96" s="48"/>
      <c r="T96" s="48"/>
      <c r="U96" s="48"/>
      <c r="V96" s="60"/>
    </row>
    <row r="97" s="35" customFormat="1" spans="2:22">
      <c r="B97" s="44" t="s">
        <v>41</v>
      </c>
      <c r="C97" s="45"/>
      <c r="D97" s="94"/>
      <c r="E97" s="95"/>
      <c r="F97" s="96"/>
      <c r="G97" s="69"/>
      <c r="H97" s="46"/>
      <c r="I97" s="46"/>
      <c r="J97" s="46"/>
      <c r="K97" s="50"/>
      <c r="L97" s="50"/>
      <c r="M97" s="50"/>
      <c r="N97" s="99"/>
      <c r="O97" s="46"/>
      <c r="P97" s="48"/>
      <c r="Q97" s="48"/>
      <c r="R97" s="48"/>
      <c r="S97" s="48"/>
      <c r="T97" s="48"/>
      <c r="U97" s="48"/>
      <c r="V97" s="60"/>
    </row>
    <row r="98" s="35" customFormat="1" spans="2:22">
      <c r="B98" s="44" t="s">
        <v>41</v>
      </c>
      <c r="C98" s="45"/>
      <c r="D98" s="94"/>
      <c r="E98" s="95"/>
      <c r="F98" s="96"/>
      <c r="G98" s="69"/>
      <c r="H98" s="46"/>
      <c r="I98" s="46"/>
      <c r="J98" s="46"/>
      <c r="K98" s="50"/>
      <c r="L98" s="50"/>
      <c r="M98" s="50"/>
      <c r="N98" s="99"/>
      <c r="O98" s="46"/>
      <c r="P98" s="48"/>
      <c r="Q98" s="48"/>
      <c r="R98" s="48"/>
      <c r="S98" s="48"/>
      <c r="T98" s="48"/>
      <c r="U98" s="48"/>
      <c r="V98" s="60"/>
    </row>
    <row r="99" s="36" customFormat="1" spans="2:22">
      <c r="B99" s="36" t="s">
        <v>41</v>
      </c>
      <c r="C99" s="56"/>
      <c r="D99" s="101"/>
      <c r="E99" s="102"/>
      <c r="F99" s="103"/>
      <c r="G99" s="104"/>
      <c r="H99" s="54"/>
      <c r="I99" s="54"/>
      <c r="J99" s="54"/>
      <c r="K99" s="109"/>
      <c r="L99" s="109"/>
      <c r="M99" s="109"/>
      <c r="N99" s="110"/>
      <c r="O99" s="46"/>
      <c r="P99" s="54"/>
      <c r="Q99" s="54"/>
      <c r="R99" s="54"/>
      <c r="S99" s="54"/>
      <c r="T99" s="54"/>
      <c r="U99" s="54"/>
      <c r="V99" s="54"/>
    </row>
    <row r="100" s="36" customFormat="1" spans="2:22">
      <c r="B100" s="36" t="s">
        <v>41</v>
      </c>
      <c r="C100" s="56"/>
      <c r="D100" s="55"/>
      <c r="E100" s="105"/>
      <c r="F100" s="103"/>
      <c r="G100" s="104"/>
      <c r="H100" s="54"/>
      <c r="I100" s="54"/>
      <c r="J100" s="54"/>
      <c r="K100" s="109"/>
      <c r="L100" s="109"/>
      <c r="M100" s="109"/>
      <c r="N100" s="110"/>
      <c r="O100" s="46"/>
      <c r="P100" s="54"/>
      <c r="Q100" s="54"/>
      <c r="R100" s="54"/>
      <c r="S100" s="54"/>
      <c r="T100" s="54"/>
      <c r="U100" s="54"/>
      <c r="V100" s="54"/>
    </row>
    <row r="101" s="36" customFormat="1" spans="2:22">
      <c r="B101" s="36" t="s">
        <v>41</v>
      </c>
      <c r="C101" s="56"/>
      <c r="D101" s="55"/>
      <c r="E101" s="105"/>
      <c r="F101" s="103"/>
      <c r="G101" s="104"/>
      <c r="H101" s="54"/>
      <c r="I101" s="54"/>
      <c r="J101" s="54"/>
      <c r="K101" s="109"/>
      <c r="L101" s="109"/>
      <c r="M101" s="109"/>
      <c r="N101" s="110"/>
      <c r="O101" s="46"/>
      <c r="P101" s="54"/>
      <c r="Q101" s="54"/>
      <c r="R101" s="54"/>
      <c r="S101" s="54"/>
      <c r="T101" s="54"/>
      <c r="U101" s="54"/>
      <c r="V101" s="54"/>
    </row>
    <row r="102" s="36" customFormat="1" spans="2:22">
      <c r="B102" s="36" t="s">
        <v>41</v>
      </c>
      <c r="C102" s="56"/>
      <c r="D102" s="55"/>
      <c r="E102" s="105"/>
      <c r="F102" s="103"/>
      <c r="G102" s="104"/>
      <c r="H102" s="54"/>
      <c r="I102" s="54"/>
      <c r="J102" s="54"/>
      <c r="K102" s="109"/>
      <c r="L102" s="109"/>
      <c r="M102" s="109"/>
      <c r="N102" s="110"/>
      <c r="O102" s="46"/>
      <c r="P102" s="54"/>
      <c r="Q102" s="54"/>
      <c r="R102" s="54"/>
      <c r="S102" s="54"/>
      <c r="T102" s="54"/>
      <c r="U102" s="54"/>
      <c r="V102" s="54"/>
    </row>
    <row r="103" s="36" customFormat="1" spans="2:22">
      <c r="B103" s="36" t="s">
        <v>41</v>
      </c>
      <c r="C103" s="56"/>
      <c r="D103" s="55"/>
      <c r="E103" s="105"/>
      <c r="F103" s="103"/>
      <c r="G103" s="104"/>
      <c r="H103" s="54"/>
      <c r="I103" s="54"/>
      <c r="J103" s="54"/>
      <c r="K103" s="109"/>
      <c r="L103" s="109"/>
      <c r="M103" s="109"/>
      <c r="N103" s="110"/>
      <c r="O103" s="46"/>
      <c r="P103" s="54"/>
      <c r="Q103" s="54"/>
      <c r="R103" s="54"/>
      <c r="S103" s="54"/>
      <c r="T103" s="54"/>
      <c r="U103" s="54"/>
      <c r="V103" s="54"/>
    </row>
    <row r="104" s="36" customFormat="1" spans="2:22">
      <c r="B104" s="36" t="s">
        <v>41</v>
      </c>
      <c r="C104" s="56"/>
      <c r="D104" s="55"/>
      <c r="E104" s="105"/>
      <c r="F104" s="103"/>
      <c r="G104" s="104"/>
      <c r="H104" s="54"/>
      <c r="I104" s="54"/>
      <c r="J104" s="54"/>
      <c r="K104" s="109"/>
      <c r="L104" s="109"/>
      <c r="M104" s="109"/>
      <c r="N104" s="110"/>
      <c r="O104" s="46"/>
      <c r="P104" s="54"/>
      <c r="Q104" s="54"/>
      <c r="R104" s="54"/>
      <c r="S104" s="54"/>
      <c r="T104" s="54"/>
      <c r="U104" s="54"/>
      <c r="V104" s="54"/>
    </row>
    <row r="105" s="36" customFormat="1" spans="2:22">
      <c r="B105" s="36" t="s">
        <v>41</v>
      </c>
      <c r="C105" s="56"/>
      <c r="D105" s="55"/>
      <c r="E105" s="105"/>
      <c r="F105" s="103"/>
      <c r="G105" s="104"/>
      <c r="H105" s="54"/>
      <c r="I105" s="54"/>
      <c r="J105" s="54"/>
      <c r="K105" s="109"/>
      <c r="L105" s="109"/>
      <c r="M105" s="109"/>
      <c r="N105" s="110"/>
      <c r="O105" s="46"/>
      <c r="P105" s="54"/>
      <c r="Q105" s="54"/>
      <c r="R105" s="54"/>
      <c r="S105" s="54"/>
      <c r="T105" s="54"/>
      <c r="U105" s="54"/>
      <c r="V105" s="54"/>
    </row>
    <row r="106" s="36" customFormat="1" spans="2:22">
      <c r="B106" s="36" t="s">
        <v>41</v>
      </c>
      <c r="D106" s="44"/>
      <c r="E106" s="44"/>
      <c r="F106" s="44"/>
      <c r="G106" s="106"/>
      <c r="H106" s="54"/>
      <c r="I106" s="54"/>
      <c r="J106" s="54"/>
      <c r="K106" s="109"/>
      <c r="L106" s="109"/>
      <c r="M106" s="109"/>
      <c r="N106" s="110"/>
      <c r="O106" s="46"/>
      <c r="P106" s="54"/>
      <c r="Q106" s="54"/>
      <c r="R106" s="54"/>
      <c r="S106" s="54"/>
      <c r="T106" s="54"/>
      <c r="U106" s="54"/>
      <c r="V106" s="54"/>
    </row>
    <row r="107" s="36" customFormat="1" spans="2:22">
      <c r="B107" s="36" t="s">
        <v>41</v>
      </c>
      <c r="D107" s="44"/>
      <c r="E107" s="44"/>
      <c r="F107" s="44"/>
      <c r="G107" s="106"/>
      <c r="H107" s="54"/>
      <c r="I107" s="54"/>
      <c r="J107" s="54"/>
      <c r="K107" s="109"/>
      <c r="L107" s="109"/>
      <c r="M107" s="109"/>
      <c r="N107" s="110"/>
      <c r="O107" s="46"/>
      <c r="P107" s="54"/>
      <c r="Q107" s="54"/>
      <c r="R107" s="54"/>
      <c r="S107" s="54"/>
      <c r="T107" s="54"/>
      <c r="U107" s="54"/>
      <c r="V107" s="54"/>
    </row>
    <row r="108" s="36" customFormat="1" spans="2:22">
      <c r="B108" s="36" t="s">
        <v>41</v>
      </c>
      <c r="C108" s="56"/>
      <c r="D108" s="44"/>
      <c r="E108" s="44"/>
      <c r="F108" s="44"/>
      <c r="G108" s="106"/>
      <c r="H108" s="54"/>
      <c r="I108" s="54"/>
      <c r="J108" s="54"/>
      <c r="K108" s="109"/>
      <c r="L108" s="109"/>
      <c r="M108" s="109"/>
      <c r="N108" s="110"/>
      <c r="O108" s="46"/>
      <c r="P108" s="54"/>
      <c r="Q108" s="54"/>
      <c r="R108" s="54"/>
      <c r="S108" s="54"/>
      <c r="T108" s="54"/>
      <c r="U108" s="54"/>
      <c r="V108" s="54"/>
    </row>
    <row r="109" s="36" customFormat="1" spans="2:22">
      <c r="B109" s="36" t="s">
        <v>41</v>
      </c>
      <c r="C109" s="56"/>
      <c r="D109" s="44"/>
      <c r="E109" s="44"/>
      <c r="F109" s="44"/>
      <c r="G109" s="106"/>
      <c r="H109" s="54"/>
      <c r="I109" s="54"/>
      <c r="J109" s="54"/>
      <c r="K109" s="109"/>
      <c r="L109" s="109"/>
      <c r="M109" s="109"/>
      <c r="N109" s="110"/>
      <c r="O109" s="46"/>
      <c r="P109" s="54"/>
      <c r="Q109" s="54"/>
      <c r="R109" s="54"/>
      <c r="S109" s="54"/>
      <c r="T109" s="54"/>
      <c r="U109" s="54"/>
      <c r="V109" s="54"/>
    </row>
    <row r="110" s="36" customFormat="1" spans="2:22">
      <c r="B110" s="36" t="s">
        <v>41</v>
      </c>
      <c r="C110" s="56"/>
      <c r="D110" s="55"/>
      <c r="E110" s="105"/>
      <c r="F110" s="44"/>
      <c r="G110" s="107"/>
      <c r="H110" s="54"/>
      <c r="I110" s="54"/>
      <c r="J110" s="54"/>
      <c r="K110" s="109"/>
      <c r="L110" s="109"/>
      <c r="M110" s="109"/>
      <c r="N110" s="110"/>
      <c r="O110" s="46"/>
      <c r="P110" s="54"/>
      <c r="Q110" s="54"/>
      <c r="R110" s="54"/>
      <c r="S110" s="54"/>
      <c r="T110" s="54"/>
      <c r="U110" s="54"/>
      <c r="V110" s="54"/>
    </row>
    <row r="111" s="36" customFormat="1" spans="2:22">
      <c r="B111" s="36" t="s">
        <v>41</v>
      </c>
      <c r="C111" s="56"/>
      <c r="D111" s="55"/>
      <c r="E111" s="105"/>
      <c r="F111" s="44"/>
      <c r="G111" s="107"/>
      <c r="H111" s="54"/>
      <c r="I111" s="54"/>
      <c r="J111" s="54"/>
      <c r="K111" s="109"/>
      <c r="L111" s="109"/>
      <c r="M111" s="109"/>
      <c r="N111" s="110"/>
      <c r="O111" s="46"/>
      <c r="P111" s="54"/>
      <c r="Q111" s="54"/>
      <c r="R111" s="54"/>
      <c r="S111" s="54"/>
      <c r="T111" s="54"/>
      <c r="U111" s="54"/>
      <c r="V111" s="54"/>
    </row>
    <row r="112" s="36" customFormat="1" spans="2:22">
      <c r="B112" s="36" t="s">
        <v>41</v>
      </c>
      <c r="C112" s="56"/>
      <c r="D112" s="55"/>
      <c r="E112" s="105"/>
      <c r="F112" s="44"/>
      <c r="G112" s="107"/>
      <c r="H112" s="54"/>
      <c r="I112" s="54"/>
      <c r="J112" s="54"/>
      <c r="K112" s="109"/>
      <c r="L112" s="109"/>
      <c r="M112" s="109"/>
      <c r="N112" s="110"/>
      <c r="O112" s="46"/>
      <c r="P112" s="54"/>
      <c r="Q112" s="54"/>
      <c r="R112" s="54"/>
      <c r="S112" s="54"/>
      <c r="T112" s="54"/>
      <c r="U112" s="54"/>
      <c r="V112" s="54"/>
    </row>
    <row r="113" s="36" customFormat="1" spans="2:22">
      <c r="B113" s="36" t="s">
        <v>41</v>
      </c>
      <c r="C113" s="56"/>
      <c r="D113" s="55"/>
      <c r="E113" s="105"/>
      <c r="F113" s="44"/>
      <c r="G113" s="107"/>
      <c r="H113" s="54"/>
      <c r="I113" s="54"/>
      <c r="J113" s="54"/>
      <c r="K113" s="109"/>
      <c r="L113" s="109"/>
      <c r="M113" s="109"/>
      <c r="N113" s="110"/>
      <c r="O113" s="46"/>
      <c r="P113" s="54"/>
      <c r="Q113" s="54"/>
      <c r="R113" s="54"/>
      <c r="S113" s="54"/>
      <c r="T113" s="54"/>
      <c r="U113" s="54"/>
      <c r="V113" s="54"/>
    </row>
    <row r="114" s="36" customFormat="1" spans="2:22">
      <c r="B114" s="36" t="s">
        <v>41</v>
      </c>
      <c r="C114" s="56"/>
      <c r="D114" s="55"/>
      <c r="E114" s="105"/>
      <c r="F114" s="108"/>
      <c r="G114" s="107"/>
      <c r="H114" s="54"/>
      <c r="I114" s="54"/>
      <c r="J114" s="54"/>
      <c r="K114" s="109"/>
      <c r="L114" s="109"/>
      <c r="M114" s="109"/>
      <c r="N114" s="110"/>
      <c r="O114" s="46"/>
      <c r="P114" s="54"/>
      <c r="Q114" s="54"/>
      <c r="R114" s="54"/>
      <c r="S114" s="54"/>
      <c r="T114" s="54"/>
      <c r="U114" s="54"/>
      <c r="V114" s="54"/>
    </row>
    <row r="115" s="36" customFormat="1" spans="2:22">
      <c r="B115" s="36" t="s">
        <v>41</v>
      </c>
      <c r="C115" s="56"/>
      <c r="D115" s="55"/>
      <c r="E115" s="105"/>
      <c r="F115" s="108"/>
      <c r="G115" s="107"/>
      <c r="H115" s="54"/>
      <c r="I115" s="54"/>
      <c r="J115" s="54"/>
      <c r="K115" s="109"/>
      <c r="L115" s="109"/>
      <c r="M115" s="109"/>
      <c r="N115" s="110"/>
      <c r="O115" s="46"/>
      <c r="P115" s="54"/>
      <c r="Q115" s="54"/>
      <c r="R115" s="54"/>
      <c r="S115" s="54"/>
      <c r="T115" s="54"/>
      <c r="U115" s="54"/>
      <c r="V115" s="54"/>
    </row>
    <row r="116" s="36" customFormat="1" spans="2:22">
      <c r="B116" s="36" t="s">
        <v>41</v>
      </c>
      <c r="C116" s="56"/>
      <c r="D116" s="55"/>
      <c r="E116" s="105"/>
      <c r="F116" s="108"/>
      <c r="G116" s="107"/>
      <c r="H116" s="54"/>
      <c r="I116" s="54"/>
      <c r="J116" s="54"/>
      <c r="K116" s="109"/>
      <c r="L116" s="109"/>
      <c r="M116" s="109"/>
      <c r="N116" s="110"/>
      <c r="O116" s="46"/>
      <c r="P116" s="54"/>
      <c r="Q116" s="54"/>
      <c r="R116" s="54"/>
      <c r="S116" s="54"/>
      <c r="T116" s="54"/>
      <c r="U116" s="54"/>
      <c r="V116" s="54"/>
    </row>
    <row r="117" s="36" customFormat="1" spans="2:22">
      <c r="B117" s="36" t="s">
        <v>41</v>
      </c>
      <c r="C117" s="56"/>
      <c r="D117" s="55"/>
      <c r="E117" s="105"/>
      <c r="F117" s="108"/>
      <c r="G117" s="107"/>
      <c r="H117" s="54"/>
      <c r="I117" s="54"/>
      <c r="J117" s="54"/>
      <c r="K117" s="109"/>
      <c r="L117" s="109"/>
      <c r="M117" s="109"/>
      <c r="N117" s="110"/>
      <c r="O117" s="46"/>
      <c r="P117" s="54"/>
      <c r="Q117" s="54"/>
      <c r="R117" s="54"/>
      <c r="S117" s="54"/>
      <c r="T117" s="54"/>
      <c r="U117" s="54"/>
      <c r="V117" s="54"/>
    </row>
    <row r="118" s="36" customFormat="1" spans="2:22">
      <c r="B118" s="36" t="s">
        <v>41</v>
      </c>
      <c r="C118" s="56"/>
      <c r="D118" s="55"/>
      <c r="E118" s="105"/>
      <c r="F118" s="108"/>
      <c r="G118" s="107"/>
      <c r="H118" s="54"/>
      <c r="I118" s="54"/>
      <c r="J118" s="54"/>
      <c r="K118" s="109"/>
      <c r="L118" s="109"/>
      <c r="M118" s="109"/>
      <c r="N118" s="110"/>
      <c r="O118" s="46"/>
      <c r="P118" s="54"/>
      <c r="Q118" s="54"/>
      <c r="R118" s="54"/>
      <c r="S118" s="54"/>
      <c r="T118" s="54"/>
      <c r="U118" s="54"/>
      <c r="V118" s="54"/>
    </row>
    <row r="119" s="36" customFormat="1" spans="2:22">
      <c r="B119" s="36" t="s">
        <v>41</v>
      </c>
      <c r="C119" s="56"/>
      <c r="D119" s="55"/>
      <c r="E119" s="105"/>
      <c r="F119" s="108"/>
      <c r="G119" s="107"/>
      <c r="H119" s="54"/>
      <c r="I119" s="54"/>
      <c r="J119" s="54"/>
      <c r="K119" s="109"/>
      <c r="L119" s="109"/>
      <c r="M119" s="54"/>
      <c r="N119" s="110"/>
      <c r="O119" s="46"/>
      <c r="P119" s="54"/>
      <c r="Q119" s="54"/>
      <c r="R119" s="54"/>
      <c r="S119" s="54"/>
      <c r="T119" s="54"/>
      <c r="U119" s="54"/>
      <c r="V119" s="54"/>
    </row>
    <row r="120" s="36" customFormat="1" spans="2:22">
      <c r="B120" s="36" t="s">
        <v>41</v>
      </c>
      <c r="C120" s="56"/>
      <c r="D120" s="55"/>
      <c r="E120" s="105"/>
      <c r="F120" s="108"/>
      <c r="G120" s="107"/>
      <c r="H120" s="54"/>
      <c r="I120" s="54"/>
      <c r="J120" s="54"/>
      <c r="K120" s="109"/>
      <c r="L120" s="109"/>
      <c r="M120" s="54"/>
      <c r="N120" s="110"/>
      <c r="O120" s="46"/>
      <c r="P120" s="54"/>
      <c r="Q120" s="54"/>
      <c r="R120" s="54"/>
      <c r="S120" s="54"/>
      <c r="T120" s="54"/>
      <c r="U120" s="54"/>
      <c r="V120" s="54"/>
    </row>
    <row r="121" s="36" customFormat="1" spans="2:22">
      <c r="B121" s="36" t="s">
        <v>41</v>
      </c>
      <c r="C121" s="56"/>
      <c r="D121" s="55"/>
      <c r="E121" s="105"/>
      <c r="F121" s="108"/>
      <c r="G121" s="107"/>
      <c r="H121" s="54"/>
      <c r="I121" s="54"/>
      <c r="J121" s="54"/>
      <c r="K121" s="109"/>
      <c r="L121" s="109"/>
      <c r="M121" s="54"/>
      <c r="N121" s="110"/>
      <c r="O121" s="46"/>
      <c r="P121" s="54"/>
      <c r="Q121" s="54"/>
      <c r="R121" s="54"/>
      <c r="S121" s="54"/>
      <c r="T121" s="54"/>
      <c r="U121" s="54"/>
      <c r="V121" s="54"/>
    </row>
    <row r="122" s="36" customFormat="1" spans="2:22">
      <c r="B122" s="36" t="s">
        <v>41</v>
      </c>
      <c r="C122" s="56"/>
      <c r="D122" s="55"/>
      <c r="E122" s="105"/>
      <c r="F122" s="108"/>
      <c r="G122" s="107"/>
      <c r="H122" s="54"/>
      <c r="I122" s="54"/>
      <c r="J122" s="54"/>
      <c r="K122" s="109"/>
      <c r="L122" s="109"/>
      <c r="M122" s="54"/>
      <c r="N122" s="110"/>
      <c r="O122" s="46"/>
      <c r="P122" s="54"/>
      <c r="Q122" s="54"/>
      <c r="R122" s="54"/>
      <c r="S122" s="54"/>
      <c r="T122" s="54"/>
      <c r="U122" s="54"/>
      <c r="V122" s="54"/>
    </row>
    <row r="123" s="36" customFormat="1" spans="2:22">
      <c r="B123" s="36" t="s">
        <v>41</v>
      </c>
      <c r="C123" s="56"/>
      <c r="D123" s="55"/>
      <c r="E123" s="105"/>
      <c r="F123" s="108"/>
      <c r="G123" s="107"/>
      <c r="H123" s="54"/>
      <c r="I123" s="54"/>
      <c r="J123" s="54"/>
      <c r="K123" s="109"/>
      <c r="L123" s="109"/>
      <c r="M123" s="54"/>
      <c r="N123" s="110"/>
      <c r="O123" s="46"/>
      <c r="P123" s="54"/>
      <c r="Q123" s="54"/>
      <c r="R123" s="54"/>
      <c r="S123" s="54"/>
      <c r="T123" s="54"/>
      <c r="U123" s="54"/>
      <c r="V123" s="54"/>
    </row>
    <row r="124" s="36" customFormat="1" spans="2:22">
      <c r="B124" s="36" t="s">
        <v>41</v>
      </c>
      <c r="C124" s="56"/>
      <c r="D124" s="55"/>
      <c r="E124" s="105"/>
      <c r="F124" s="108"/>
      <c r="G124" s="107"/>
      <c r="H124" s="54"/>
      <c r="I124" s="54"/>
      <c r="J124" s="54"/>
      <c r="K124" s="109"/>
      <c r="L124" s="109"/>
      <c r="M124" s="54"/>
      <c r="N124" s="110"/>
      <c r="O124" s="46"/>
      <c r="P124" s="54"/>
      <c r="Q124" s="54"/>
      <c r="R124" s="54"/>
      <c r="S124" s="54"/>
      <c r="T124" s="54"/>
      <c r="U124" s="54"/>
      <c r="V124" s="54"/>
    </row>
    <row r="125" s="36" customFormat="1" spans="2:22">
      <c r="B125" s="36" t="s">
        <v>41</v>
      </c>
      <c r="C125" s="56"/>
      <c r="D125" s="55"/>
      <c r="E125" s="105"/>
      <c r="F125" s="108"/>
      <c r="G125" s="107"/>
      <c r="H125" s="54"/>
      <c r="I125" s="54"/>
      <c r="J125" s="54"/>
      <c r="K125" s="109"/>
      <c r="L125" s="109"/>
      <c r="M125" s="54"/>
      <c r="N125" s="110"/>
      <c r="O125" s="46"/>
      <c r="P125" s="54"/>
      <c r="Q125" s="54"/>
      <c r="R125" s="54"/>
      <c r="S125" s="54"/>
      <c r="T125" s="54"/>
      <c r="U125" s="54"/>
      <c r="V125" s="54"/>
    </row>
    <row r="126" s="36" customFormat="1" spans="2:22">
      <c r="B126" s="36" t="s">
        <v>41</v>
      </c>
      <c r="C126" s="56"/>
      <c r="D126" s="55"/>
      <c r="E126" s="105"/>
      <c r="F126" s="108"/>
      <c r="G126" s="107"/>
      <c r="H126" s="54"/>
      <c r="I126" s="54"/>
      <c r="J126" s="54"/>
      <c r="K126" s="109"/>
      <c r="L126" s="109"/>
      <c r="M126" s="54"/>
      <c r="N126" s="110"/>
      <c r="O126" s="46"/>
      <c r="P126" s="54"/>
      <c r="Q126" s="54"/>
      <c r="R126" s="54"/>
      <c r="S126" s="54"/>
      <c r="T126" s="54"/>
      <c r="U126" s="54"/>
      <c r="V126" s="54"/>
    </row>
    <row r="127" s="36" customFormat="1" spans="2:22">
      <c r="B127" s="36" t="s">
        <v>41</v>
      </c>
      <c r="C127" s="56"/>
      <c r="D127" s="55"/>
      <c r="E127" s="105"/>
      <c r="F127" s="108"/>
      <c r="G127" s="107"/>
      <c r="H127" s="54"/>
      <c r="I127" s="54"/>
      <c r="J127" s="54"/>
      <c r="K127" s="109"/>
      <c r="L127" s="109"/>
      <c r="M127" s="54"/>
      <c r="N127" s="110"/>
      <c r="O127" s="46"/>
      <c r="P127" s="54"/>
      <c r="Q127" s="54"/>
      <c r="R127" s="54"/>
      <c r="S127" s="54"/>
      <c r="T127" s="54"/>
      <c r="U127" s="54"/>
      <c r="V127" s="54"/>
    </row>
    <row r="128" s="36" customFormat="1" spans="2:22">
      <c r="B128" s="36" t="s">
        <v>35</v>
      </c>
      <c r="C128" s="56"/>
      <c r="D128" s="55"/>
      <c r="E128" s="105"/>
      <c r="F128" s="108"/>
      <c r="G128" s="107"/>
      <c r="H128" s="54"/>
      <c r="I128" s="54"/>
      <c r="J128" s="54"/>
      <c r="K128" s="109"/>
      <c r="L128" s="109"/>
      <c r="M128" s="54"/>
      <c r="N128" s="110"/>
      <c r="O128" s="46"/>
      <c r="P128" s="54"/>
      <c r="Q128" s="54"/>
      <c r="R128" s="54"/>
      <c r="S128" s="54"/>
      <c r="T128" s="54"/>
      <c r="U128" s="54"/>
      <c r="V128" s="54"/>
    </row>
    <row r="129" s="36" customFormat="1" spans="2:22">
      <c r="B129" s="36" t="s">
        <v>35</v>
      </c>
      <c r="C129" s="56"/>
      <c r="D129" s="55"/>
      <c r="E129" s="105"/>
      <c r="F129" s="108"/>
      <c r="G129" s="107"/>
      <c r="H129" s="54"/>
      <c r="I129" s="54"/>
      <c r="J129" s="54"/>
      <c r="K129" s="109"/>
      <c r="L129" s="109"/>
      <c r="M129" s="54"/>
      <c r="N129" s="110"/>
      <c r="O129" s="46"/>
      <c r="P129" s="54"/>
      <c r="Q129" s="54"/>
      <c r="R129" s="54"/>
      <c r="S129" s="54"/>
      <c r="T129" s="54"/>
      <c r="U129" s="54"/>
      <c r="V129" s="54"/>
    </row>
    <row r="130" s="36" customFormat="1" spans="2:22">
      <c r="B130" s="36" t="s">
        <v>35</v>
      </c>
      <c r="C130" s="56"/>
      <c r="D130" s="55"/>
      <c r="E130" s="105"/>
      <c r="F130" s="108"/>
      <c r="G130" s="107"/>
      <c r="H130" s="54"/>
      <c r="I130" s="54"/>
      <c r="J130" s="54"/>
      <c r="K130" s="109"/>
      <c r="L130" s="109"/>
      <c r="M130" s="54"/>
      <c r="N130" s="110"/>
      <c r="O130" s="46"/>
      <c r="P130" s="54"/>
      <c r="Q130" s="54"/>
      <c r="R130" s="54"/>
      <c r="S130" s="54"/>
      <c r="T130" s="54"/>
      <c r="U130" s="54"/>
      <c r="V130" s="54"/>
    </row>
    <row r="131" s="36" customFormat="1" spans="2:22">
      <c r="B131" s="36" t="s">
        <v>35</v>
      </c>
      <c r="C131" s="56"/>
      <c r="D131" s="55"/>
      <c r="E131" s="105"/>
      <c r="F131" s="108"/>
      <c r="G131" s="107"/>
      <c r="H131" s="54"/>
      <c r="I131" s="54"/>
      <c r="J131" s="54"/>
      <c r="K131" s="109"/>
      <c r="L131" s="109"/>
      <c r="M131" s="54"/>
      <c r="N131" s="110"/>
      <c r="O131" s="46"/>
      <c r="P131" s="54"/>
      <c r="Q131" s="54"/>
      <c r="R131" s="54"/>
      <c r="S131" s="54"/>
      <c r="T131" s="54"/>
      <c r="U131" s="54"/>
      <c r="V131" s="54"/>
    </row>
    <row r="132" s="36" customFormat="1" spans="2:22">
      <c r="B132" s="36" t="s">
        <v>35</v>
      </c>
      <c r="C132" s="56"/>
      <c r="D132" s="55"/>
      <c r="E132" s="105"/>
      <c r="F132" s="108"/>
      <c r="G132" s="107"/>
      <c r="H132" s="54"/>
      <c r="I132" s="54"/>
      <c r="J132" s="54"/>
      <c r="K132" s="109"/>
      <c r="L132" s="109"/>
      <c r="M132" s="54"/>
      <c r="N132" s="110"/>
      <c r="O132" s="46"/>
      <c r="P132" s="54"/>
      <c r="Q132" s="54"/>
      <c r="R132" s="54"/>
      <c r="S132" s="54"/>
      <c r="T132" s="54"/>
      <c r="U132" s="54"/>
      <c r="V132" s="54"/>
    </row>
    <row r="133" s="36" customFormat="1" spans="2:22">
      <c r="B133" s="36" t="s">
        <v>35</v>
      </c>
      <c r="C133" s="56"/>
      <c r="D133" s="55"/>
      <c r="E133" s="105"/>
      <c r="F133" s="108"/>
      <c r="G133" s="107"/>
      <c r="H133" s="54"/>
      <c r="I133" s="54"/>
      <c r="J133" s="54"/>
      <c r="K133" s="109"/>
      <c r="L133" s="109"/>
      <c r="M133" s="54"/>
      <c r="N133" s="110"/>
      <c r="O133" s="46"/>
      <c r="P133" s="54"/>
      <c r="Q133" s="54"/>
      <c r="R133" s="54"/>
      <c r="S133" s="54"/>
      <c r="T133" s="54"/>
      <c r="U133" s="54"/>
      <c r="V133" s="54"/>
    </row>
    <row r="134" s="36" customFormat="1" spans="2:22">
      <c r="B134" s="36" t="s">
        <v>35</v>
      </c>
      <c r="C134" s="56"/>
      <c r="D134" s="55"/>
      <c r="E134" s="105"/>
      <c r="F134" s="108"/>
      <c r="G134" s="107"/>
      <c r="H134" s="54"/>
      <c r="I134" s="54"/>
      <c r="J134" s="54"/>
      <c r="K134" s="109"/>
      <c r="L134" s="109"/>
      <c r="M134" s="54"/>
      <c r="N134" s="110"/>
      <c r="O134" s="46"/>
      <c r="P134" s="54"/>
      <c r="Q134" s="54"/>
      <c r="R134" s="54"/>
      <c r="S134" s="54"/>
      <c r="T134" s="54"/>
      <c r="U134" s="54"/>
      <c r="V134" s="54"/>
    </row>
    <row r="135" s="36" customFormat="1" spans="2:22">
      <c r="B135" s="36" t="s">
        <v>35</v>
      </c>
      <c r="C135" s="56"/>
      <c r="D135" s="55"/>
      <c r="E135" s="105"/>
      <c r="F135" s="108"/>
      <c r="G135" s="107"/>
      <c r="H135" s="54"/>
      <c r="I135" s="54"/>
      <c r="J135" s="54"/>
      <c r="K135" s="109"/>
      <c r="L135" s="109"/>
      <c r="M135" s="54"/>
      <c r="N135" s="110"/>
      <c r="O135" s="46"/>
      <c r="P135" s="54"/>
      <c r="Q135" s="54"/>
      <c r="R135" s="54"/>
      <c r="S135" s="54"/>
      <c r="T135" s="54"/>
      <c r="U135" s="54"/>
      <c r="V135" s="54"/>
    </row>
    <row r="136" s="36" customFormat="1" spans="2:22">
      <c r="B136" s="36" t="s">
        <v>35</v>
      </c>
      <c r="C136" s="56"/>
      <c r="D136" s="55"/>
      <c r="E136" s="105"/>
      <c r="F136" s="108"/>
      <c r="G136" s="107"/>
      <c r="H136" s="54"/>
      <c r="I136" s="54"/>
      <c r="J136" s="54"/>
      <c r="K136" s="109"/>
      <c r="L136" s="109"/>
      <c r="M136" s="54"/>
      <c r="N136" s="110"/>
      <c r="O136" s="46"/>
      <c r="P136" s="54"/>
      <c r="Q136" s="54"/>
      <c r="R136" s="54"/>
      <c r="S136" s="54"/>
      <c r="T136" s="54"/>
      <c r="U136" s="54"/>
      <c r="V136" s="54"/>
    </row>
    <row r="137" s="36" customFormat="1" spans="2:22">
      <c r="B137" s="36" t="s">
        <v>35</v>
      </c>
      <c r="C137" s="56"/>
      <c r="D137" s="55"/>
      <c r="E137" s="105"/>
      <c r="F137" s="108"/>
      <c r="G137" s="107"/>
      <c r="H137" s="54"/>
      <c r="I137" s="54"/>
      <c r="J137" s="54"/>
      <c r="K137" s="109"/>
      <c r="L137" s="109"/>
      <c r="M137" s="54"/>
      <c r="N137" s="110"/>
      <c r="O137" s="46"/>
      <c r="P137" s="54"/>
      <c r="Q137" s="54"/>
      <c r="R137" s="54"/>
      <c r="S137" s="54"/>
      <c r="T137" s="54"/>
      <c r="U137" s="54"/>
      <c r="V137" s="54"/>
    </row>
    <row r="138" s="36" customFormat="1" spans="2:22">
      <c r="B138" s="36" t="s">
        <v>35</v>
      </c>
      <c r="C138" s="56"/>
      <c r="D138" s="55"/>
      <c r="E138" s="105"/>
      <c r="F138" s="108"/>
      <c r="G138" s="107"/>
      <c r="H138" s="54"/>
      <c r="I138" s="54"/>
      <c r="J138" s="54"/>
      <c r="K138" s="109"/>
      <c r="L138" s="109"/>
      <c r="M138" s="54"/>
      <c r="N138" s="110"/>
      <c r="O138" s="46"/>
      <c r="P138" s="54"/>
      <c r="Q138" s="54"/>
      <c r="R138" s="54"/>
      <c r="S138" s="54"/>
      <c r="T138" s="54"/>
      <c r="U138" s="54"/>
      <c r="V138" s="54"/>
    </row>
    <row r="139" s="36" customFormat="1" spans="2:22">
      <c r="B139" s="36" t="s">
        <v>35</v>
      </c>
      <c r="C139" s="56"/>
      <c r="D139" s="55"/>
      <c r="E139" s="105"/>
      <c r="F139" s="108"/>
      <c r="G139" s="107"/>
      <c r="H139" s="54"/>
      <c r="I139" s="54"/>
      <c r="J139" s="54"/>
      <c r="K139" s="109"/>
      <c r="L139" s="109"/>
      <c r="M139" s="54"/>
      <c r="N139" s="110"/>
      <c r="O139" s="46"/>
      <c r="P139" s="54"/>
      <c r="Q139" s="54"/>
      <c r="R139" s="54"/>
      <c r="S139" s="54"/>
      <c r="T139" s="54"/>
      <c r="U139" s="54"/>
      <c r="V139" s="54"/>
    </row>
    <row r="140" s="36" customFormat="1" spans="2:22">
      <c r="B140" s="36" t="s">
        <v>35</v>
      </c>
      <c r="C140" s="56"/>
      <c r="D140" s="55"/>
      <c r="E140" s="105"/>
      <c r="F140" s="108"/>
      <c r="G140" s="107"/>
      <c r="H140" s="54"/>
      <c r="I140" s="54"/>
      <c r="J140" s="54"/>
      <c r="K140" s="109"/>
      <c r="L140" s="109"/>
      <c r="M140" s="54"/>
      <c r="N140" s="110"/>
      <c r="O140" s="46"/>
      <c r="P140" s="54"/>
      <c r="Q140" s="54"/>
      <c r="R140" s="54"/>
      <c r="S140" s="54"/>
      <c r="T140" s="54"/>
      <c r="U140" s="54"/>
      <c r="V140" s="54"/>
    </row>
    <row r="141" s="36" customFormat="1" spans="2:22">
      <c r="B141" s="36" t="s">
        <v>35</v>
      </c>
      <c r="C141" s="56"/>
      <c r="D141" s="55"/>
      <c r="E141" s="105"/>
      <c r="F141" s="108"/>
      <c r="G141" s="107"/>
      <c r="H141" s="54"/>
      <c r="I141" s="54"/>
      <c r="J141" s="54"/>
      <c r="K141" s="109"/>
      <c r="L141" s="109"/>
      <c r="M141" s="54"/>
      <c r="N141" s="110"/>
      <c r="O141" s="46"/>
      <c r="P141" s="54"/>
      <c r="Q141" s="54"/>
      <c r="R141" s="54"/>
      <c r="S141" s="54"/>
      <c r="T141" s="54"/>
      <c r="U141" s="54"/>
      <c r="V141" s="54"/>
    </row>
    <row r="142" s="36" customFormat="1" spans="2:22">
      <c r="B142" s="36" t="s">
        <v>35</v>
      </c>
      <c r="C142" s="56"/>
      <c r="D142" s="55"/>
      <c r="E142" s="105"/>
      <c r="F142" s="108"/>
      <c r="G142" s="107"/>
      <c r="H142" s="54"/>
      <c r="I142" s="54"/>
      <c r="J142" s="54"/>
      <c r="K142" s="109"/>
      <c r="L142" s="109"/>
      <c r="M142" s="54"/>
      <c r="N142" s="110"/>
      <c r="O142" s="46"/>
      <c r="P142" s="54"/>
      <c r="Q142" s="54"/>
      <c r="R142" s="54"/>
      <c r="S142" s="54"/>
      <c r="T142" s="54"/>
      <c r="U142" s="54"/>
      <c r="V142" s="54"/>
    </row>
    <row r="143" s="36" customFormat="1" spans="2:22">
      <c r="B143" s="36" t="s">
        <v>35</v>
      </c>
      <c r="C143" s="56"/>
      <c r="D143" s="55"/>
      <c r="E143" s="105"/>
      <c r="F143" s="108"/>
      <c r="G143" s="107"/>
      <c r="H143" s="54"/>
      <c r="I143" s="54"/>
      <c r="J143" s="54"/>
      <c r="K143" s="109"/>
      <c r="L143" s="109"/>
      <c r="M143" s="54"/>
      <c r="N143" s="110"/>
      <c r="O143" s="46"/>
      <c r="P143" s="54"/>
      <c r="Q143" s="54"/>
      <c r="R143" s="54"/>
      <c r="S143" s="54"/>
      <c r="T143" s="54"/>
      <c r="U143" s="54"/>
      <c r="V143" s="54"/>
    </row>
    <row r="144" s="36" customFormat="1" spans="2:22">
      <c r="B144" s="36" t="s">
        <v>35</v>
      </c>
      <c r="C144" s="56"/>
      <c r="D144" s="55"/>
      <c r="E144" s="105"/>
      <c r="F144" s="108"/>
      <c r="G144" s="107"/>
      <c r="H144" s="54"/>
      <c r="I144" s="54"/>
      <c r="J144" s="54"/>
      <c r="K144" s="109"/>
      <c r="L144" s="109"/>
      <c r="M144" s="54"/>
      <c r="N144" s="110"/>
      <c r="O144" s="46"/>
      <c r="P144" s="54"/>
      <c r="Q144" s="54"/>
      <c r="R144" s="54"/>
      <c r="S144" s="54"/>
      <c r="T144" s="54"/>
      <c r="U144" s="54"/>
      <c r="V144" s="54"/>
    </row>
    <row r="145" s="36" customFormat="1" spans="2:22">
      <c r="B145" s="36" t="s">
        <v>35</v>
      </c>
      <c r="C145" s="56"/>
      <c r="D145" s="55"/>
      <c r="E145" s="105"/>
      <c r="F145" s="108"/>
      <c r="G145" s="107"/>
      <c r="H145" s="54"/>
      <c r="I145" s="54"/>
      <c r="J145" s="54"/>
      <c r="K145" s="109"/>
      <c r="L145" s="109"/>
      <c r="M145" s="54"/>
      <c r="N145" s="110"/>
      <c r="O145" s="46"/>
      <c r="P145" s="54"/>
      <c r="Q145" s="54"/>
      <c r="R145" s="54"/>
      <c r="S145" s="54"/>
      <c r="T145" s="54"/>
      <c r="U145" s="54"/>
      <c r="V145" s="54"/>
    </row>
    <row r="146" s="36" customFormat="1" spans="2:22">
      <c r="B146" s="36" t="s">
        <v>35</v>
      </c>
      <c r="C146" s="56"/>
      <c r="D146" s="55"/>
      <c r="E146" s="105"/>
      <c r="F146" s="108"/>
      <c r="G146" s="107"/>
      <c r="H146" s="54"/>
      <c r="I146" s="54"/>
      <c r="J146" s="54"/>
      <c r="K146" s="109"/>
      <c r="L146" s="109"/>
      <c r="M146" s="54"/>
      <c r="N146" s="110"/>
      <c r="O146" s="46"/>
      <c r="P146" s="54"/>
      <c r="Q146" s="54"/>
      <c r="R146" s="54"/>
      <c r="S146" s="54"/>
      <c r="T146" s="54"/>
      <c r="U146" s="54"/>
      <c r="V146" s="54"/>
    </row>
    <row r="147" s="36" customFormat="1" spans="2:22">
      <c r="B147" s="36" t="s">
        <v>35</v>
      </c>
      <c r="C147" s="56"/>
      <c r="D147" s="55"/>
      <c r="E147" s="105"/>
      <c r="F147" s="108"/>
      <c r="G147" s="107"/>
      <c r="H147" s="54"/>
      <c r="I147" s="54"/>
      <c r="J147" s="54"/>
      <c r="K147" s="109"/>
      <c r="L147" s="109"/>
      <c r="M147" s="54"/>
      <c r="N147" s="110"/>
      <c r="O147" s="46"/>
      <c r="P147" s="54"/>
      <c r="Q147" s="54"/>
      <c r="R147" s="54"/>
      <c r="S147" s="54"/>
      <c r="T147" s="54"/>
      <c r="U147" s="54"/>
      <c r="V147" s="54"/>
    </row>
    <row r="148" s="36" customFormat="1" spans="2:22">
      <c r="B148" s="36" t="s">
        <v>35</v>
      </c>
      <c r="C148" s="56"/>
      <c r="D148" s="55"/>
      <c r="E148" s="105"/>
      <c r="F148" s="108"/>
      <c r="G148" s="107"/>
      <c r="H148" s="54"/>
      <c r="I148" s="54"/>
      <c r="J148" s="54"/>
      <c r="K148" s="109"/>
      <c r="L148" s="109"/>
      <c r="M148" s="54"/>
      <c r="N148" s="110"/>
      <c r="O148" s="46"/>
      <c r="P148" s="54"/>
      <c r="Q148" s="54"/>
      <c r="R148" s="54"/>
      <c r="S148" s="54"/>
      <c r="T148" s="54"/>
      <c r="U148" s="54"/>
      <c r="V148" s="54"/>
    </row>
    <row r="149" s="36" customFormat="1" spans="2:22">
      <c r="B149" s="36" t="s">
        <v>35</v>
      </c>
      <c r="C149" s="56"/>
      <c r="D149" s="55"/>
      <c r="E149" s="105"/>
      <c r="F149" s="108"/>
      <c r="G149" s="107"/>
      <c r="H149" s="54"/>
      <c r="I149" s="54"/>
      <c r="J149" s="54"/>
      <c r="K149" s="109"/>
      <c r="L149" s="109"/>
      <c r="M149" s="54"/>
      <c r="N149" s="110"/>
      <c r="O149" s="46"/>
      <c r="P149" s="54"/>
      <c r="Q149" s="54"/>
      <c r="R149" s="54"/>
      <c r="S149" s="54"/>
      <c r="T149" s="54"/>
      <c r="U149" s="54"/>
      <c r="V149" s="54"/>
    </row>
    <row r="150" s="36" customFormat="1" spans="2:22">
      <c r="B150" s="36" t="s">
        <v>35</v>
      </c>
      <c r="C150" s="56"/>
      <c r="D150" s="55"/>
      <c r="E150" s="105"/>
      <c r="F150" s="108"/>
      <c r="G150" s="107"/>
      <c r="H150" s="54"/>
      <c r="I150" s="54"/>
      <c r="J150" s="54"/>
      <c r="K150" s="109"/>
      <c r="L150" s="109"/>
      <c r="M150" s="54"/>
      <c r="N150" s="110"/>
      <c r="O150" s="46"/>
      <c r="P150" s="54"/>
      <c r="Q150" s="54"/>
      <c r="R150" s="54"/>
      <c r="S150" s="54"/>
      <c r="T150" s="54"/>
      <c r="U150" s="54"/>
      <c r="V150" s="54"/>
    </row>
    <row r="151" s="36" customFormat="1" spans="2:22">
      <c r="B151" s="36" t="s">
        <v>35</v>
      </c>
      <c r="C151" s="56"/>
      <c r="D151" s="55"/>
      <c r="E151" s="105"/>
      <c r="F151" s="108"/>
      <c r="G151" s="107"/>
      <c r="H151" s="54"/>
      <c r="I151" s="54"/>
      <c r="J151" s="54"/>
      <c r="K151" s="109"/>
      <c r="L151" s="109"/>
      <c r="M151" s="54"/>
      <c r="N151" s="110"/>
      <c r="O151" s="46"/>
      <c r="P151" s="54"/>
      <c r="Q151" s="54"/>
      <c r="R151" s="54"/>
      <c r="S151" s="54"/>
      <c r="T151" s="54"/>
      <c r="U151" s="54"/>
      <c r="V151" s="54"/>
    </row>
    <row r="152" s="36" customFormat="1" spans="2:22">
      <c r="B152" s="36" t="s">
        <v>35</v>
      </c>
      <c r="C152" s="56"/>
      <c r="D152" s="55"/>
      <c r="E152" s="105"/>
      <c r="F152" s="108"/>
      <c r="G152" s="107"/>
      <c r="H152" s="54"/>
      <c r="I152" s="54"/>
      <c r="J152" s="54"/>
      <c r="K152" s="109"/>
      <c r="L152" s="109"/>
      <c r="M152" s="54"/>
      <c r="N152" s="110"/>
      <c r="O152" s="46"/>
      <c r="P152" s="54"/>
      <c r="Q152" s="54"/>
      <c r="R152" s="54"/>
      <c r="S152" s="54"/>
      <c r="T152" s="54"/>
      <c r="U152" s="54"/>
      <c r="V152" s="54"/>
    </row>
    <row r="153" s="36" customFormat="1" spans="2:22">
      <c r="B153" s="36" t="s">
        <v>35</v>
      </c>
      <c r="C153" s="56"/>
      <c r="D153" s="55"/>
      <c r="E153" s="105"/>
      <c r="F153" s="108"/>
      <c r="G153" s="107"/>
      <c r="H153" s="54"/>
      <c r="I153" s="54"/>
      <c r="J153" s="54"/>
      <c r="K153" s="109"/>
      <c r="L153" s="109"/>
      <c r="M153" s="54"/>
      <c r="N153" s="110"/>
      <c r="O153" s="46"/>
      <c r="P153" s="54"/>
      <c r="Q153" s="54"/>
      <c r="R153" s="54"/>
      <c r="S153" s="54"/>
      <c r="T153" s="54"/>
      <c r="U153" s="54"/>
      <c r="V153" s="54"/>
    </row>
    <row r="154" s="36" customFormat="1" spans="2:22">
      <c r="B154" s="36" t="s">
        <v>35</v>
      </c>
      <c r="C154" s="56"/>
      <c r="D154" s="55"/>
      <c r="E154" s="105"/>
      <c r="F154" s="108"/>
      <c r="G154" s="107"/>
      <c r="H154" s="54"/>
      <c r="I154" s="54"/>
      <c r="J154" s="54"/>
      <c r="K154" s="109"/>
      <c r="L154" s="109"/>
      <c r="M154" s="54"/>
      <c r="N154" s="110"/>
      <c r="O154" s="46"/>
      <c r="P154" s="54"/>
      <c r="Q154" s="54"/>
      <c r="R154" s="54"/>
      <c r="S154" s="54"/>
      <c r="T154" s="54"/>
      <c r="U154" s="54"/>
      <c r="V154" s="54"/>
    </row>
    <row r="155" s="36" customFormat="1" spans="2:22">
      <c r="B155" s="36" t="s">
        <v>35</v>
      </c>
      <c r="C155" s="56"/>
      <c r="D155" s="55"/>
      <c r="E155" s="105"/>
      <c r="F155" s="108"/>
      <c r="G155" s="107"/>
      <c r="H155" s="54"/>
      <c r="I155" s="54"/>
      <c r="J155" s="54"/>
      <c r="K155" s="109"/>
      <c r="L155" s="109"/>
      <c r="M155" s="54"/>
      <c r="N155" s="110"/>
      <c r="O155" s="46"/>
      <c r="P155" s="54"/>
      <c r="Q155" s="54"/>
      <c r="R155" s="54"/>
      <c r="S155" s="54"/>
      <c r="T155" s="54"/>
      <c r="U155" s="54"/>
      <c r="V155" s="54"/>
    </row>
    <row r="156" s="36" customFormat="1" spans="2:22">
      <c r="B156" s="36" t="s">
        <v>35</v>
      </c>
      <c r="C156" s="56"/>
      <c r="D156" s="55"/>
      <c r="E156" s="105"/>
      <c r="F156" s="108"/>
      <c r="G156" s="107"/>
      <c r="H156" s="54"/>
      <c r="I156" s="54"/>
      <c r="J156" s="54"/>
      <c r="K156" s="109"/>
      <c r="L156" s="109"/>
      <c r="M156" s="54"/>
      <c r="N156" s="110"/>
      <c r="O156" s="46"/>
      <c r="P156" s="54"/>
      <c r="Q156" s="54"/>
      <c r="R156" s="54"/>
      <c r="S156" s="54"/>
      <c r="T156" s="54"/>
      <c r="U156" s="54"/>
      <c r="V156" s="54"/>
    </row>
    <row r="157" s="36" customFormat="1" spans="2:22">
      <c r="B157" s="36" t="s">
        <v>35</v>
      </c>
      <c r="C157" s="56"/>
      <c r="D157" s="55"/>
      <c r="E157" s="105"/>
      <c r="F157" s="108"/>
      <c r="G157" s="107"/>
      <c r="H157" s="54"/>
      <c r="I157" s="54"/>
      <c r="J157" s="54"/>
      <c r="K157" s="109"/>
      <c r="L157" s="109"/>
      <c r="M157" s="54"/>
      <c r="N157" s="110"/>
      <c r="O157" s="46"/>
      <c r="P157" s="54"/>
      <c r="Q157" s="54"/>
      <c r="R157" s="54"/>
      <c r="S157" s="54"/>
      <c r="T157" s="54"/>
      <c r="U157" s="54"/>
      <c r="V157" s="54"/>
    </row>
    <row r="158" s="36" customFormat="1" spans="2:22">
      <c r="B158" s="36" t="s">
        <v>35</v>
      </c>
      <c r="C158" s="56"/>
      <c r="D158" s="55"/>
      <c r="E158" s="105"/>
      <c r="F158" s="108"/>
      <c r="G158" s="107"/>
      <c r="H158" s="54"/>
      <c r="I158" s="54"/>
      <c r="J158" s="54"/>
      <c r="K158" s="109"/>
      <c r="L158" s="109"/>
      <c r="M158" s="54"/>
      <c r="N158" s="110"/>
      <c r="O158" s="46"/>
      <c r="P158" s="54"/>
      <c r="Q158" s="54"/>
      <c r="R158" s="54"/>
      <c r="S158" s="54"/>
      <c r="T158" s="54"/>
      <c r="U158" s="54"/>
      <c r="V158" s="54"/>
    </row>
    <row r="159" s="36" customFormat="1" spans="2:22">
      <c r="B159" s="36" t="s">
        <v>35</v>
      </c>
      <c r="C159" s="56"/>
      <c r="D159" s="55"/>
      <c r="E159" s="105"/>
      <c r="F159" s="108"/>
      <c r="G159" s="107"/>
      <c r="H159" s="54"/>
      <c r="I159" s="54"/>
      <c r="J159" s="54"/>
      <c r="K159" s="109"/>
      <c r="L159" s="109"/>
      <c r="M159" s="54"/>
      <c r="N159" s="110"/>
      <c r="O159" s="46"/>
      <c r="P159" s="54"/>
      <c r="Q159" s="54"/>
      <c r="R159" s="54"/>
      <c r="S159" s="54"/>
      <c r="T159" s="54"/>
      <c r="U159" s="54"/>
      <c r="V159" s="54"/>
    </row>
    <row r="160" s="36" customFormat="1" spans="2:22">
      <c r="B160" s="36" t="s">
        <v>35</v>
      </c>
      <c r="C160" s="56"/>
      <c r="D160" s="55"/>
      <c r="E160" s="105"/>
      <c r="F160" s="108"/>
      <c r="G160" s="107"/>
      <c r="H160" s="54"/>
      <c r="I160" s="54"/>
      <c r="J160" s="54"/>
      <c r="K160" s="109"/>
      <c r="L160" s="109"/>
      <c r="M160" s="54"/>
      <c r="N160" s="110"/>
      <c r="O160" s="46"/>
      <c r="P160" s="54"/>
      <c r="Q160" s="54"/>
      <c r="R160" s="54"/>
      <c r="S160" s="54"/>
      <c r="T160" s="54"/>
      <c r="U160" s="54"/>
      <c r="V160" s="54"/>
    </row>
    <row r="161" s="36" customFormat="1" spans="2:22">
      <c r="B161" s="36" t="s">
        <v>35</v>
      </c>
      <c r="C161" s="56"/>
      <c r="D161" s="55"/>
      <c r="E161" s="105"/>
      <c r="F161" s="108"/>
      <c r="G161" s="107"/>
      <c r="H161" s="54"/>
      <c r="I161" s="54"/>
      <c r="J161" s="54"/>
      <c r="K161" s="109"/>
      <c r="L161" s="109"/>
      <c r="M161" s="54"/>
      <c r="N161" s="110"/>
      <c r="O161" s="46"/>
      <c r="P161" s="54"/>
      <c r="Q161" s="54"/>
      <c r="R161" s="54"/>
      <c r="S161" s="54"/>
      <c r="T161" s="54"/>
      <c r="U161" s="54"/>
      <c r="V161" s="54"/>
    </row>
    <row r="162" s="36" customFormat="1" spans="2:22">
      <c r="B162" s="36" t="s">
        <v>35</v>
      </c>
      <c r="C162" s="56"/>
      <c r="D162" s="55"/>
      <c r="E162" s="105"/>
      <c r="F162" s="108"/>
      <c r="G162" s="107"/>
      <c r="H162" s="54"/>
      <c r="I162" s="54"/>
      <c r="J162" s="54"/>
      <c r="K162" s="109"/>
      <c r="L162" s="109"/>
      <c r="M162" s="54"/>
      <c r="N162" s="110"/>
      <c r="O162" s="46"/>
      <c r="P162" s="54"/>
      <c r="Q162" s="54"/>
      <c r="R162" s="54"/>
      <c r="S162" s="54"/>
      <c r="T162" s="54"/>
      <c r="U162" s="54"/>
      <c r="V162" s="54"/>
    </row>
    <row r="163" s="36" customFormat="1" spans="2:22">
      <c r="B163" s="36" t="s">
        <v>35</v>
      </c>
      <c r="C163" s="56"/>
      <c r="D163" s="55"/>
      <c r="E163" s="105"/>
      <c r="F163" s="108"/>
      <c r="G163" s="107"/>
      <c r="H163" s="54"/>
      <c r="I163" s="54"/>
      <c r="J163" s="54"/>
      <c r="K163" s="109"/>
      <c r="L163" s="109"/>
      <c r="M163" s="54"/>
      <c r="N163" s="110"/>
      <c r="O163" s="46"/>
      <c r="P163" s="54"/>
      <c r="Q163" s="54"/>
      <c r="R163" s="54"/>
      <c r="S163" s="54"/>
      <c r="T163" s="54"/>
      <c r="U163" s="54"/>
      <c r="V163" s="54"/>
    </row>
    <row r="164" s="36" customFormat="1" spans="2:22">
      <c r="B164" s="36" t="s">
        <v>35</v>
      </c>
      <c r="C164" s="56"/>
      <c r="D164" s="55"/>
      <c r="E164" s="105"/>
      <c r="F164" s="108"/>
      <c r="G164" s="107"/>
      <c r="H164" s="54"/>
      <c r="I164" s="54"/>
      <c r="J164" s="54"/>
      <c r="K164" s="109"/>
      <c r="L164" s="109"/>
      <c r="M164" s="54"/>
      <c r="N164" s="110"/>
      <c r="O164" s="46"/>
      <c r="P164" s="54"/>
      <c r="Q164" s="54"/>
      <c r="R164" s="54"/>
      <c r="S164" s="54"/>
      <c r="T164" s="54"/>
      <c r="U164" s="54"/>
      <c r="V164" s="54"/>
    </row>
    <row r="165" s="36" customFormat="1" spans="2:22">
      <c r="B165" s="36" t="s">
        <v>35</v>
      </c>
      <c r="C165" s="56"/>
      <c r="D165" s="55"/>
      <c r="E165" s="105"/>
      <c r="F165" s="108"/>
      <c r="G165" s="107"/>
      <c r="H165" s="54"/>
      <c r="I165" s="54"/>
      <c r="J165" s="54"/>
      <c r="K165" s="109"/>
      <c r="L165" s="109"/>
      <c r="M165" s="54"/>
      <c r="N165" s="110"/>
      <c r="O165" s="46"/>
      <c r="P165" s="54"/>
      <c r="Q165" s="54"/>
      <c r="R165" s="54"/>
      <c r="S165" s="54"/>
      <c r="T165" s="54"/>
      <c r="U165" s="54"/>
      <c r="V165" s="54"/>
    </row>
    <row r="166" s="36" customFormat="1" spans="2:22">
      <c r="B166" s="36" t="s">
        <v>35</v>
      </c>
      <c r="C166" s="56"/>
      <c r="D166" s="55"/>
      <c r="E166" s="105"/>
      <c r="F166" s="108"/>
      <c r="G166" s="107"/>
      <c r="H166" s="54"/>
      <c r="I166" s="54"/>
      <c r="J166" s="54"/>
      <c r="K166" s="109"/>
      <c r="L166" s="109"/>
      <c r="M166" s="54"/>
      <c r="N166" s="110"/>
      <c r="O166" s="46"/>
      <c r="P166" s="54"/>
      <c r="Q166" s="54"/>
      <c r="R166" s="54"/>
      <c r="S166" s="54"/>
      <c r="T166" s="54"/>
      <c r="U166" s="54"/>
      <c r="V166" s="54"/>
    </row>
    <row r="167" s="36" customFormat="1" spans="2:22">
      <c r="B167" s="36" t="s">
        <v>35</v>
      </c>
      <c r="C167" s="56"/>
      <c r="D167" s="55"/>
      <c r="E167" s="105"/>
      <c r="F167" s="108"/>
      <c r="G167" s="107"/>
      <c r="H167" s="54"/>
      <c r="I167" s="54"/>
      <c r="J167" s="54"/>
      <c r="K167" s="109"/>
      <c r="L167" s="109"/>
      <c r="M167" s="54"/>
      <c r="N167" s="110"/>
      <c r="O167" s="46"/>
      <c r="P167" s="54"/>
      <c r="Q167" s="54"/>
      <c r="R167" s="54"/>
      <c r="S167" s="54"/>
      <c r="T167" s="54"/>
      <c r="U167" s="54"/>
      <c r="V167" s="54"/>
    </row>
    <row r="168" s="36" customFormat="1" spans="2:22">
      <c r="B168" s="36" t="s">
        <v>35</v>
      </c>
      <c r="C168" s="56"/>
      <c r="D168" s="55"/>
      <c r="E168" s="105"/>
      <c r="F168" s="108"/>
      <c r="G168" s="107"/>
      <c r="H168" s="54"/>
      <c r="I168" s="54"/>
      <c r="J168" s="54"/>
      <c r="K168" s="109"/>
      <c r="L168" s="109"/>
      <c r="M168" s="54"/>
      <c r="N168" s="110"/>
      <c r="O168" s="46"/>
      <c r="P168" s="54"/>
      <c r="Q168" s="54"/>
      <c r="R168" s="54"/>
      <c r="S168" s="54"/>
      <c r="T168" s="54"/>
      <c r="U168" s="54"/>
      <c r="V168" s="54"/>
    </row>
    <row r="169" s="36" customFormat="1" spans="2:22">
      <c r="B169" s="36" t="s">
        <v>35</v>
      </c>
      <c r="C169" s="56"/>
      <c r="D169" s="55"/>
      <c r="E169" s="105"/>
      <c r="F169" s="108"/>
      <c r="G169" s="107"/>
      <c r="H169" s="54"/>
      <c r="I169" s="54"/>
      <c r="J169" s="54"/>
      <c r="K169" s="109"/>
      <c r="L169" s="109"/>
      <c r="M169" s="54"/>
      <c r="N169" s="110"/>
      <c r="O169" s="46"/>
      <c r="P169" s="54"/>
      <c r="Q169" s="54"/>
      <c r="R169" s="54"/>
      <c r="S169" s="54"/>
      <c r="T169" s="54"/>
      <c r="U169" s="54"/>
      <c r="V169" s="54"/>
    </row>
    <row r="170" s="36" customFormat="1" spans="2:22">
      <c r="B170" s="36" t="s">
        <v>35</v>
      </c>
      <c r="C170" s="56"/>
      <c r="D170" s="55"/>
      <c r="E170" s="105"/>
      <c r="F170" s="108"/>
      <c r="G170" s="107"/>
      <c r="H170" s="54"/>
      <c r="I170" s="54"/>
      <c r="J170" s="54"/>
      <c r="K170" s="109"/>
      <c r="L170" s="109"/>
      <c r="M170" s="54"/>
      <c r="N170" s="110"/>
      <c r="O170" s="46"/>
      <c r="P170" s="54"/>
      <c r="Q170" s="54"/>
      <c r="R170" s="54"/>
      <c r="S170" s="54"/>
      <c r="T170" s="54"/>
      <c r="U170" s="54"/>
      <c r="V170" s="54"/>
    </row>
    <row r="171" s="36" customFormat="1" spans="2:22">
      <c r="B171" s="36" t="s">
        <v>35</v>
      </c>
      <c r="C171" s="56"/>
      <c r="D171" s="55"/>
      <c r="E171" s="105"/>
      <c r="F171" s="108"/>
      <c r="G171" s="107"/>
      <c r="H171" s="54"/>
      <c r="I171" s="54"/>
      <c r="J171" s="54"/>
      <c r="K171" s="109"/>
      <c r="L171" s="109"/>
      <c r="M171" s="54"/>
      <c r="N171" s="110"/>
      <c r="O171" s="46"/>
      <c r="P171" s="54"/>
      <c r="Q171" s="54"/>
      <c r="R171" s="54"/>
      <c r="S171" s="54"/>
      <c r="T171" s="54"/>
      <c r="U171" s="54"/>
      <c r="V171" s="54"/>
    </row>
    <row r="172" s="36" customFormat="1" spans="2:22">
      <c r="B172" s="36" t="s">
        <v>35</v>
      </c>
      <c r="C172" s="56"/>
      <c r="D172" s="55"/>
      <c r="E172" s="105"/>
      <c r="F172" s="108"/>
      <c r="G172" s="107"/>
      <c r="H172" s="54"/>
      <c r="I172" s="54"/>
      <c r="J172" s="54"/>
      <c r="K172" s="109"/>
      <c r="L172" s="109"/>
      <c r="M172" s="54"/>
      <c r="N172" s="110"/>
      <c r="O172" s="46"/>
      <c r="P172" s="54"/>
      <c r="Q172" s="54"/>
      <c r="R172" s="54"/>
      <c r="S172" s="54"/>
      <c r="T172" s="54"/>
      <c r="U172" s="54"/>
      <c r="V172" s="54"/>
    </row>
    <row r="173" s="36" customFormat="1" spans="2:22">
      <c r="B173" s="36" t="s">
        <v>35</v>
      </c>
      <c r="C173" s="56"/>
      <c r="D173" s="55"/>
      <c r="E173" s="105"/>
      <c r="F173" s="108"/>
      <c r="G173" s="107"/>
      <c r="H173" s="54"/>
      <c r="I173" s="54"/>
      <c r="J173" s="54"/>
      <c r="K173" s="109"/>
      <c r="L173" s="109"/>
      <c r="M173" s="54"/>
      <c r="N173" s="110"/>
      <c r="O173" s="46"/>
      <c r="P173" s="54"/>
      <c r="Q173" s="54"/>
      <c r="R173" s="54"/>
      <c r="S173" s="54"/>
      <c r="T173" s="54"/>
      <c r="U173" s="54"/>
      <c r="V173" s="54"/>
    </row>
    <row r="174" s="36" customFormat="1" spans="2:22">
      <c r="B174" s="36" t="s">
        <v>35</v>
      </c>
      <c r="C174" s="56"/>
      <c r="D174" s="55"/>
      <c r="E174" s="105"/>
      <c r="F174" s="108"/>
      <c r="G174" s="107"/>
      <c r="H174" s="54"/>
      <c r="I174" s="54"/>
      <c r="J174" s="54"/>
      <c r="K174" s="109"/>
      <c r="L174" s="109"/>
      <c r="M174" s="54"/>
      <c r="N174" s="110"/>
      <c r="O174" s="46"/>
      <c r="P174" s="54"/>
      <c r="Q174" s="54"/>
      <c r="R174" s="54"/>
      <c r="S174" s="54"/>
      <c r="T174" s="54"/>
      <c r="U174" s="54"/>
      <c r="V174" s="54"/>
    </row>
    <row r="175" s="36" customFormat="1" spans="2:22">
      <c r="B175" s="36" t="s">
        <v>35</v>
      </c>
      <c r="C175" s="56"/>
      <c r="D175" s="55"/>
      <c r="E175" s="105"/>
      <c r="F175" s="108"/>
      <c r="G175" s="107"/>
      <c r="H175" s="54"/>
      <c r="I175" s="54"/>
      <c r="J175" s="54"/>
      <c r="K175" s="109"/>
      <c r="L175" s="109"/>
      <c r="M175" s="54"/>
      <c r="N175" s="110"/>
      <c r="O175" s="46"/>
      <c r="P175" s="54"/>
      <c r="Q175" s="54"/>
      <c r="R175" s="54"/>
      <c r="S175" s="54"/>
      <c r="T175" s="54"/>
      <c r="U175" s="54"/>
      <c r="V175" s="54"/>
    </row>
    <row r="176" s="36" customFormat="1" spans="2:22">
      <c r="B176" s="36" t="s">
        <v>35</v>
      </c>
      <c r="C176" s="56"/>
      <c r="D176" s="55"/>
      <c r="E176" s="105"/>
      <c r="F176" s="108"/>
      <c r="G176" s="107"/>
      <c r="H176" s="54"/>
      <c r="I176" s="54"/>
      <c r="J176" s="54"/>
      <c r="K176" s="109"/>
      <c r="L176" s="109"/>
      <c r="M176" s="54"/>
      <c r="N176" s="110"/>
      <c r="O176" s="46"/>
      <c r="P176" s="54"/>
      <c r="Q176" s="54"/>
      <c r="R176" s="54"/>
      <c r="S176" s="54"/>
      <c r="T176" s="54"/>
      <c r="U176" s="54"/>
      <c r="V176" s="54"/>
    </row>
    <row r="177" s="36" customFormat="1" spans="2:22">
      <c r="B177" s="36" t="s">
        <v>35</v>
      </c>
      <c r="C177" s="56"/>
      <c r="D177" s="55"/>
      <c r="E177" s="105"/>
      <c r="F177" s="108"/>
      <c r="G177" s="107"/>
      <c r="H177" s="54"/>
      <c r="I177" s="54"/>
      <c r="J177" s="54"/>
      <c r="K177" s="109"/>
      <c r="L177" s="109"/>
      <c r="M177" s="54"/>
      <c r="N177" s="110"/>
      <c r="O177" s="46"/>
      <c r="P177" s="54"/>
      <c r="Q177" s="54"/>
      <c r="R177" s="54"/>
      <c r="S177" s="54"/>
      <c r="T177" s="54"/>
      <c r="U177" s="54"/>
      <c r="V177" s="54"/>
    </row>
    <row r="178" s="36" customFormat="1" spans="2:22">
      <c r="B178" s="36" t="s">
        <v>35</v>
      </c>
      <c r="C178" s="56"/>
      <c r="D178" s="55"/>
      <c r="E178" s="105"/>
      <c r="F178" s="108"/>
      <c r="G178" s="107"/>
      <c r="H178" s="54"/>
      <c r="I178" s="54"/>
      <c r="J178" s="54"/>
      <c r="K178" s="109"/>
      <c r="L178" s="109"/>
      <c r="M178" s="54"/>
      <c r="N178" s="110"/>
      <c r="O178" s="46"/>
      <c r="P178" s="54"/>
      <c r="Q178" s="54"/>
      <c r="R178" s="54"/>
      <c r="S178" s="54"/>
      <c r="T178" s="54"/>
      <c r="U178" s="54"/>
      <c r="V178" s="54"/>
    </row>
    <row r="179" s="36" customFormat="1" spans="2:22">
      <c r="B179" s="36" t="s">
        <v>35</v>
      </c>
      <c r="C179" s="56"/>
      <c r="D179" s="55"/>
      <c r="E179" s="105"/>
      <c r="F179" s="108"/>
      <c r="G179" s="107"/>
      <c r="H179" s="54"/>
      <c r="I179" s="54"/>
      <c r="J179" s="54"/>
      <c r="K179" s="109"/>
      <c r="L179" s="109"/>
      <c r="M179" s="54"/>
      <c r="N179" s="110"/>
      <c r="O179" s="46"/>
      <c r="P179" s="54"/>
      <c r="Q179" s="54"/>
      <c r="R179" s="54"/>
      <c r="S179" s="54"/>
      <c r="T179" s="54"/>
      <c r="U179" s="54"/>
      <c r="V179" s="54"/>
    </row>
    <row r="180" s="36" customFormat="1" spans="2:22">
      <c r="B180" s="36" t="s">
        <v>35</v>
      </c>
      <c r="C180" s="56"/>
      <c r="D180" s="55"/>
      <c r="E180" s="105"/>
      <c r="F180" s="108"/>
      <c r="G180" s="107"/>
      <c r="H180" s="54"/>
      <c r="I180" s="54"/>
      <c r="J180" s="54"/>
      <c r="K180" s="109"/>
      <c r="L180" s="109"/>
      <c r="M180" s="54"/>
      <c r="N180" s="110"/>
      <c r="O180" s="46"/>
      <c r="P180" s="54"/>
      <c r="Q180" s="54"/>
      <c r="R180" s="54"/>
      <c r="S180" s="54"/>
      <c r="T180" s="54"/>
      <c r="U180" s="54"/>
      <c r="V180" s="54"/>
    </row>
    <row r="181" s="36" customFormat="1" spans="2:22">
      <c r="B181" s="36" t="s">
        <v>35</v>
      </c>
      <c r="C181" s="56"/>
      <c r="D181" s="55"/>
      <c r="E181" s="105"/>
      <c r="F181" s="108"/>
      <c r="G181" s="107"/>
      <c r="H181" s="54"/>
      <c r="I181" s="54"/>
      <c r="J181" s="54"/>
      <c r="K181" s="109"/>
      <c r="L181" s="109"/>
      <c r="M181" s="54"/>
      <c r="N181" s="110"/>
      <c r="O181" s="46"/>
      <c r="P181" s="54"/>
      <c r="Q181" s="54"/>
      <c r="R181" s="54"/>
      <c r="S181" s="54"/>
      <c r="T181" s="54"/>
      <c r="U181" s="54"/>
      <c r="V181" s="54"/>
    </row>
    <row r="182" s="36" customFormat="1" spans="2:22">
      <c r="B182" s="36" t="s">
        <v>35</v>
      </c>
      <c r="C182" s="56"/>
      <c r="D182" s="55"/>
      <c r="E182" s="105"/>
      <c r="F182" s="108"/>
      <c r="G182" s="107"/>
      <c r="H182" s="54"/>
      <c r="I182" s="54"/>
      <c r="J182" s="54"/>
      <c r="K182" s="109"/>
      <c r="L182" s="109"/>
      <c r="M182" s="54"/>
      <c r="N182" s="110"/>
      <c r="O182" s="46"/>
      <c r="P182" s="54"/>
      <c r="Q182" s="54"/>
      <c r="R182" s="54"/>
      <c r="S182" s="54"/>
      <c r="T182" s="54"/>
      <c r="U182" s="54"/>
      <c r="V182" s="54"/>
    </row>
    <row r="183" s="36" customFormat="1" spans="2:22">
      <c r="B183" s="36" t="s">
        <v>35</v>
      </c>
      <c r="C183" s="56"/>
      <c r="D183" s="55"/>
      <c r="E183" s="105"/>
      <c r="F183" s="108"/>
      <c r="G183" s="107"/>
      <c r="H183" s="54"/>
      <c r="I183" s="54"/>
      <c r="J183" s="54"/>
      <c r="K183" s="109"/>
      <c r="L183" s="109"/>
      <c r="M183" s="54"/>
      <c r="N183" s="110"/>
      <c r="O183" s="46"/>
      <c r="P183" s="54"/>
      <c r="Q183" s="54"/>
      <c r="R183" s="54"/>
      <c r="S183" s="54"/>
      <c r="T183" s="54"/>
      <c r="U183" s="54"/>
      <c r="V183" s="54"/>
    </row>
    <row r="184" s="36" customFormat="1" spans="2:22">
      <c r="B184" s="36" t="s">
        <v>35</v>
      </c>
      <c r="C184" s="56"/>
      <c r="D184" s="55"/>
      <c r="E184" s="105"/>
      <c r="F184" s="108"/>
      <c r="G184" s="107"/>
      <c r="H184" s="54"/>
      <c r="I184" s="54"/>
      <c r="J184" s="54"/>
      <c r="K184" s="109"/>
      <c r="L184" s="109"/>
      <c r="M184" s="54"/>
      <c r="N184" s="110"/>
      <c r="O184" s="46"/>
      <c r="P184" s="54"/>
      <c r="Q184" s="54"/>
      <c r="R184" s="54"/>
      <c r="S184" s="54"/>
      <c r="T184" s="54"/>
      <c r="U184" s="54"/>
      <c r="V184" s="54"/>
    </row>
    <row r="185" s="36" customFormat="1" spans="2:22">
      <c r="B185" s="36" t="s">
        <v>35</v>
      </c>
      <c r="C185" s="56"/>
      <c r="D185" s="55"/>
      <c r="E185" s="105"/>
      <c r="F185" s="108"/>
      <c r="G185" s="107"/>
      <c r="H185" s="54"/>
      <c r="I185" s="54"/>
      <c r="J185" s="54"/>
      <c r="K185" s="109"/>
      <c r="L185" s="109"/>
      <c r="M185" s="54"/>
      <c r="N185" s="110"/>
      <c r="O185" s="46"/>
      <c r="P185" s="54"/>
      <c r="Q185" s="54"/>
      <c r="R185" s="54"/>
      <c r="S185" s="54"/>
      <c r="T185" s="54"/>
      <c r="U185" s="54"/>
      <c r="V185" s="54"/>
    </row>
    <row r="186" s="36" customFormat="1" spans="2:22">
      <c r="B186" s="36" t="s">
        <v>35</v>
      </c>
      <c r="C186" s="56"/>
      <c r="D186" s="55"/>
      <c r="E186" s="105"/>
      <c r="F186" s="108"/>
      <c r="G186" s="107"/>
      <c r="H186" s="54"/>
      <c r="I186" s="54"/>
      <c r="J186" s="54"/>
      <c r="K186" s="109"/>
      <c r="L186" s="109"/>
      <c r="M186" s="54"/>
      <c r="N186" s="110"/>
      <c r="O186" s="46"/>
      <c r="P186" s="54"/>
      <c r="Q186" s="54"/>
      <c r="R186" s="54"/>
      <c r="S186" s="54"/>
      <c r="T186" s="54"/>
      <c r="U186" s="54"/>
      <c r="V186" s="54"/>
    </row>
    <row r="187" s="36" customFormat="1" spans="2:22">
      <c r="B187" s="36" t="s">
        <v>35</v>
      </c>
      <c r="C187" s="56"/>
      <c r="D187" s="55"/>
      <c r="E187" s="105"/>
      <c r="F187" s="108"/>
      <c r="G187" s="107"/>
      <c r="H187" s="54"/>
      <c r="I187" s="54"/>
      <c r="J187" s="54"/>
      <c r="K187" s="109"/>
      <c r="L187" s="109"/>
      <c r="M187" s="54"/>
      <c r="N187" s="110"/>
      <c r="O187" s="46"/>
      <c r="P187" s="54"/>
      <c r="Q187" s="54"/>
      <c r="R187" s="54"/>
      <c r="S187" s="54"/>
      <c r="T187" s="54"/>
      <c r="U187" s="54"/>
      <c r="V187" s="54"/>
    </row>
    <row r="188" s="36" customFormat="1" spans="3:22">
      <c r="C188" s="56"/>
      <c r="D188" s="55"/>
      <c r="E188" s="105"/>
      <c r="F188" s="108"/>
      <c r="G188" s="107"/>
      <c r="H188" s="54"/>
      <c r="I188" s="54"/>
      <c r="J188" s="54"/>
      <c r="K188" s="109"/>
      <c r="L188" s="109"/>
      <c r="M188" s="54"/>
      <c r="N188" s="110"/>
      <c r="O188" s="46"/>
      <c r="P188" s="54"/>
      <c r="Q188" s="54"/>
      <c r="R188" s="54"/>
      <c r="S188" s="54"/>
      <c r="T188" s="54"/>
      <c r="U188" s="54"/>
      <c r="V188" s="54"/>
    </row>
    <row r="189" s="36" customFormat="1" spans="3:22">
      <c r="C189" s="56"/>
      <c r="D189" s="55"/>
      <c r="E189" s="105"/>
      <c r="F189" s="108"/>
      <c r="G189" s="107"/>
      <c r="H189" s="54"/>
      <c r="I189" s="54"/>
      <c r="J189" s="54"/>
      <c r="K189" s="109"/>
      <c r="L189" s="109"/>
      <c r="M189" s="54"/>
      <c r="N189" s="110"/>
      <c r="O189" s="46"/>
      <c r="P189" s="54"/>
      <c r="Q189" s="54"/>
      <c r="R189" s="54"/>
      <c r="S189" s="54"/>
      <c r="T189" s="54"/>
      <c r="U189" s="54"/>
      <c r="V189" s="54"/>
    </row>
    <row r="190" s="36" customFormat="1" spans="3:22">
      <c r="C190" s="56"/>
      <c r="D190" s="55"/>
      <c r="E190" s="105"/>
      <c r="F190" s="108"/>
      <c r="G190" s="107"/>
      <c r="H190" s="54"/>
      <c r="I190" s="54"/>
      <c r="J190" s="54"/>
      <c r="K190" s="109"/>
      <c r="L190" s="109"/>
      <c r="M190" s="54"/>
      <c r="N190" s="110"/>
      <c r="O190" s="46"/>
      <c r="P190" s="54"/>
      <c r="Q190" s="54"/>
      <c r="R190" s="54"/>
      <c r="S190" s="54"/>
      <c r="T190" s="54"/>
      <c r="U190" s="54"/>
      <c r="V190" s="54"/>
    </row>
    <row r="191" s="36" customFormat="1" spans="3:22">
      <c r="C191" s="56"/>
      <c r="D191" s="55"/>
      <c r="E191" s="105"/>
      <c r="F191" s="108"/>
      <c r="G191" s="107"/>
      <c r="H191" s="54"/>
      <c r="I191" s="54"/>
      <c r="J191" s="54"/>
      <c r="K191" s="109"/>
      <c r="L191" s="109"/>
      <c r="M191" s="54"/>
      <c r="N191" s="110"/>
      <c r="O191" s="46"/>
      <c r="P191" s="54"/>
      <c r="Q191" s="54"/>
      <c r="R191" s="54"/>
      <c r="S191" s="54"/>
      <c r="T191" s="54"/>
      <c r="U191" s="54"/>
      <c r="V191" s="54"/>
    </row>
    <row r="192" spans="2:2">
      <c r="B192" s="36"/>
    </row>
    <row r="193" spans="2:2">
      <c r="B193" s="36"/>
    </row>
  </sheetData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0</xdr:col>
                    <xdr:colOff>28575</xdr:colOff>
                    <xdr:row>13</xdr:row>
                    <xdr:rowOff>66675</xdr:rowOff>
                  </from>
                  <to>
                    <xdr:col>0</xdr:col>
                    <xdr:colOff>1362075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W162"/>
  <sheetViews>
    <sheetView workbookViewId="0">
      <selection activeCell="H8" sqref="H8"/>
    </sheetView>
  </sheetViews>
  <sheetFormatPr defaultColWidth="9" defaultRowHeight="13.8"/>
  <cols>
    <col min="1" max="1" width="18.25" style="37" customWidth="1"/>
    <col min="2" max="2" width="9" style="37"/>
    <col min="3" max="3" width="19.6296296296296" style="35" customWidth="1"/>
    <col min="4" max="4" width="23.8796296296296" style="35" customWidth="1"/>
    <col min="5" max="5" width="13" style="35" customWidth="1"/>
    <col min="6" max="6" width="21.6296296296296" style="35" customWidth="1"/>
    <col min="7" max="16384" width="9" style="37"/>
  </cols>
  <sheetData>
    <row r="1" ht="14.55" spans="1:13">
      <c r="A1" s="38" t="s">
        <v>42</v>
      </c>
      <c r="B1" s="39" t="s">
        <v>1</v>
      </c>
      <c r="C1" s="63" t="s">
        <v>2</v>
      </c>
      <c r="D1" s="64" t="s">
        <v>43</v>
      </c>
      <c r="E1" s="64" t="s">
        <v>44</v>
      </c>
      <c r="F1" s="64" t="s">
        <v>45</v>
      </c>
      <c r="G1" s="40" t="s">
        <v>46</v>
      </c>
      <c r="H1" s="40" t="s">
        <v>47</v>
      </c>
      <c r="I1" s="39"/>
      <c r="J1" s="39"/>
      <c r="K1" s="39"/>
      <c r="L1" s="39"/>
      <c r="M1" s="39"/>
    </row>
    <row r="2" ht="14.55" spans="1:13">
      <c r="A2" s="41"/>
      <c r="B2" s="42" t="s">
        <v>48</v>
      </c>
      <c r="C2" s="63" t="s">
        <v>19</v>
      </c>
      <c r="D2" s="64" t="s">
        <v>49</v>
      </c>
      <c r="E2" s="64" t="s">
        <v>50</v>
      </c>
      <c r="F2" s="64" t="s">
        <v>51</v>
      </c>
      <c r="G2" s="14" t="s">
        <v>52</v>
      </c>
      <c r="H2" s="14" t="s">
        <v>52</v>
      </c>
      <c r="I2" s="39"/>
      <c r="J2" s="39"/>
      <c r="K2" s="39"/>
      <c r="L2" s="39"/>
      <c r="M2" s="39"/>
    </row>
    <row r="3" spans="1:23">
      <c r="A3" s="43"/>
      <c r="B3" s="65" t="s">
        <v>53</v>
      </c>
      <c r="C3" s="45" t="s">
        <v>54</v>
      </c>
      <c r="D3" s="66" t="str">
        <f>C3</f>
        <v>金</v>
      </c>
      <c r="E3" s="67">
        <f>物品!E92</f>
        <v>0</v>
      </c>
      <c r="F3" s="46" t="s">
        <v>55</v>
      </c>
      <c r="G3" s="68" t="s">
        <v>56</v>
      </c>
      <c r="H3" s="68" t="s">
        <v>56</v>
      </c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52"/>
    </row>
    <row r="4" spans="1:23">
      <c r="A4" s="43"/>
      <c r="B4" s="65" t="s">
        <v>53</v>
      </c>
      <c r="C4" s="45" t="s">
        <v>57</v>
      </c>
      <c r="D4" s="66" t="str">
        <f t="shared" ref="D4:D67" si="0">C4</f>
        <v>木</v>
      </c>
      <c r="E4" s="67">
        <f>物品!E93</f>
        <v>0</v>
      </c>
      <c r="F4" s="46" t="s">
        <v>58</v>
      </c>
      <c r="G4" s="68" t="s">
        <v>56</v>
      </c>
      <c r="H4" s="68" t="s">
        <v>56</v>
      </c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52"/>
    </row>
    <row r="5" spans="2:23">
      <c r="B5" s="65" t="s">
        <v>53</v>
      </c>
      <c r="C5" s="45" t="s">
        <v>59</v>
      </c>
      <c r="D5" s="66" t="str">
        <f t="shared" si="0"/>
        <v>水</v>
      </c>
      <c r="E5" s="67">
        <f>物品!E94</f>
        <v>0</v>
      </c>
      <c r="F5" s="46" t="s">
        <v>60</v>
      </c>
      <c r="G5" s="68" t="s">
        <v>56</v>
      </c>
      <c r="H5" s="68" t="s">
        <v>56</v>
      </c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52"/>
    </row>
    <row r="6" spans="2:23">
      <c r="B6" s="65" t="s">
        <v>53</v>
      </c>
      <c r="C6" s="45" t="s">
        <v>61</v>
      </c>
      <c r="D6" s="66" t="str">
        <f t="shared" si="0"/>
        <v>火</v>
      </c>
      <c r="E6" s="67">
        <f>物品!E95</f>
        <v>0</v>
      </c>
      <c r="F6" s="46" t="s">
        <v>62</v>
      </c>
      <c r="G6" s="68" t="s">
        <v>56</v>
      </c>
      <c r="H6" s="68" t="s">
        <v>56</v>
      </c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52"/>
    </row>
    <row r="7" spans="2:23">
      <c r="B7" s="65" t="s">
        <v>53</v>
      </c>
      <c r="C7" s="45" t="s">
        <v>63</v>
      </c>
      <c r="D7" s="66" t="str">
        <f t="shared" si="0"/>
        <v>土</v>
      </c>
      <c r="E7" s="67">
        <f>物品!E96</f>
        <v>0</v>
      </c>
      <c r="F7" s="46" t="s">
        <v>64</v>
      </c>
      <c r="G7" s="68" t="s">
        <v>56</v>
      </c>
      <c r="H7" s="68" t="s">
        <v>56</v>
      </c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52"/>
    </row>
    <row r="8" spans="2:23">
      <c r="B8" s="65" t="s">
        <v>53</v>
      </c>
      <c r="C8" s="45" t="s">
        <v>65</v>
      </c>
      <c r="D8" s="66" t="str">
        <f t="shared" si="0"/>
        <v>白羊</v>
      </c>
      <c r="E8" s="67">
        <f>物品!E97</f>
        <v>0</v>
      </c>
      <c r="F8" s="46" t="s">
        <v>66</v>
      </c>
      <c r="G8" s="68" t="s">
        <v>56</v>
      </c>
      <c r="H8" s="68" t="s">
        <v>56</v>
      </c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52"/>
    </row>
    <row r="9" spans="2:23">
      <c r="B9" s="65" t="s">
        <v>53</v>
      </c>
      <c r="C9" s="45" t="s">
        <v>67</v>
      </c>
      <c r="D9" s="66" t="str">
        <f t="shared" si="0"/>
        <v>金牛</v>
      </c>
      <c r="E9" s="67">
        <f>物品!E98</f>
        <v>0</v>
      </c>
      <c r="F9" s="46" t="s">
        <v>68</v>
      </c>
      <c r="G9" s="68" t="s">
        <v>56</v>
      </c>
      <c r="H9" s="68" t="s">
        <v>56</v>
      </c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52"/>
    </row>
    <row r="10" spans="2:23">
      <c r="B10" s="65" t="s">
        <v>53</v>
      </c>
      <c r="C10" s="45" t="s">
        <v>69</v>
      </c>
      <c r="D10" s="66" t="str">
        <f t="shared" si="0"/>
        <v>双子</v>
      </c>
      <c r="E10" s="67">
        <f>物品!E99</f>
        <v>0</v>
      </c>
      <c r="F10" s="46" t="s">
        <v>70</v>
      </c>
      <c r="G10" s="68" t="s">
        <v>56</v>
      </c>
      <c r="H10" s="68" t="s">
        <v>56</v>
      </c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52"/>
    </row>
    <row r="11" spans="2:23">
      <c r="B11" s="65" t="s">
        <v>53</v>
      </c>
      <c r="C11" s="45" t="s">
        <v>71</v>
      </c>
      <c r="D11" s="66" t="str">
        <f t="shared" si="0"/>
        <v>巨蟹</v>
      </c>
      <c r="E11" s="67">
        <f>物品!E100</f>
        <v>0</v>
      </c>
      <c r="F11" s="46" t="s">
        <v>72</v>
      </c>
      <c r="G11" s="68" t="s">
        <v>56</v>
      </c>
      <c r="H11" s="68" t="s">
        <v>56</v>
      </c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52"/>
    </row>
    <row r="12" spans="2:23">
      <c r="B12" s="65" t="s">
        <v>53</v>
      </c>
      <c r="C12" s="45" t="s">
        <v>73</v>
      </c>
      <c r="D12" s="66" t="str">
        <f t="shared" si="0"/>
        <v>狮子</v>
      </c>
      <c r="E12" s="67">
        <f>物品!E101</f>
        <v>0</v>
      </c>
      <c r="F12" s="46" t="s">
        <v>74</v>
      </c>
      <c r="G12" s="68" t="s">
        <v>56</v>
      </c>
      <c r="H12" s="68" t="s">
        <v>56</v>
      </c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52"/>
    </row>
    <row r="13" spans="2:23">
      <c r="B13" s="65" t="s">
        <v>53</v>
      </c>
      <c r="C13" s="45" t="s">
        <v>75</v>
      </c>
      <c r="D13" s="66" t="str">
        <f t="shared" si="0"/>
        <v>处女</v>
      </c>
      <c r="E13" s="67">
        <f>物品!E102</f>
        <v>0</v>
      </c>
      <c r="F13" s="46" t="s">
        <v>76</v>
      </c>
      <c r="G13" s="68" t="s">
        <v>56</v>
      </c>
      <c r="H13" s="68" t="s">
        <v>56</v>
      </c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52"/>
    </row>
    <row r="14" spans="2:23">
      <c r="B14" s="65" t="s">
        <v>53</v>
      </c>
      <c r="C14" s="45" t="s">
        <v>77</v>
      </c>
      <c r="D14" s="66" t="str">
        <f t="shared" si="0"/>
        <v>天枰</v>
      </c>
      <c r="E14" s="67">
        <f>物品!E103</f>
        <v>0</v>
      </c>
      <c r="F14" s="46" t="s">
        <v>78</v>
      </c>
      <c r="G14" s="68" t="s">
        <v>56</v>
      </c>
      <c r="H14" s="68" t="s">
        <v>56</v>
      </c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52"/>
    </row>
    <row r="15" spans="2:23">
      <c r="B15" s="65" t="s">
        <v>53</v>
      </c>
      <c r="C15" s="45" t="s">
        <v>79</v>
      </c>
      <c r="D15" s="66" t="str">
        <f t="shared" si="0"/>
        <v>天蝎</v>
      </c>
      <c r="E15" s="67">
        <f>物品!E104</f>
        <v>0</v>
      </c>
      <c r="F15" s="46" t="s">
        <v>80</v>
      </c>
      <c r="G15" s="68" t="s">
        <v>56</v>
      </c>
      <c r="H15" s="68" t="s">
        <v>56</v>
      </c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52"/>
    </row>
    <row r="16" spans="2:23">
      <c r="B16" s="65" t="s">
        <v>53</v>
      </c>
      <c r="C16" s="45" t="s">
        <v>81</v>
      </c>
      <c r="D16" s="66" t="str">
        <f t="shared" si="0"/>
        <v>射手</v>
      </c>
      <c r="E16" s="67">
        <f>物品!E105</f>
        <v>0</v>
      </c>
      <c r="F16" s="46" t="s">
        <v>82</v>
      </c>
      <c r="G16" s="68" t="s">
        <v>56</v>
      </c>
      <c r="H16" s="68" t="s">
        <v>56</v>
      </c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52"/>
    </row>
    <row r="17" spans="2:23">
      <c r="B17" s="65" t="s">
        <v>53</v>
      </c>
      <c r="C17" s="45" t="s">
        <v>83</v>
      </c>
      <c r="D17" s="66" t="str">
        <f t="shared" si="0"/>
        <v>摩羯</v>
      </c>
      <c r="E17" s="67">
        <f>物品!E106</f>
        <v>0</v>
      </c>
      <c r="F17" s="46" t="s">
        <v>84</v>
      </c>
      <c r="G17" s="68" t="s">
        <v>56</v>
      </c>
      <c r="H17" s="68" t="s">
        <v>56</v>
      </c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52"/>
    </row>
    <row r="18" spans="2:23">
      <c r="B18" s="65" t="s">
        <v>53</v>
      </c>
      <c r="C18" s="45" t="s">
        <v>85</v>
      </c>
      <c r="D18" s="66" t="str">
        <f t="shared" si="0"/>
        <v>水瓶</v>
      </c>
      <c r="E18" s="67">
        <f>物品!E107</f>
        <v>0</v>
      </c>
      <c r="F18" s="46" t="s">
        <v>86</v>
      </c>
      <c r="G18" s="68" t="s">
        <v>56</v>
      </c>
      <c r="H18" s="68" t="s">
        <v>56</v>
      </c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52"/>
    </row>
    <row r="19" spans="2:23">
      <c r="B19" s="65" t="s">
        <v>53</v>
      </c>
      <c r="C19" s="45" t="s">
        <v>87</v>
      </c>
      <c r="D19" s="66" t="str">
        <f t="shared" si="0"/>
        <v>双鱼</v>
      </c>
      <c r="E19" s="67">
        <f>物品!E108</f>
        <v>0</v>
      </c>
      <c r="F19" s="46" t="s">
        <v>88</v>
      </c>
      <c r="G19" s="68" t="s">
        <v>56</v>
      </c>
      <c r="H19" s="68" t="s">
        <v>56</v>
      </c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2"/>
    </row>
    <row r="20" spans="2:23">
      <c r="B20" s="65" t="s">
        <v>53</v>
      </c>
      <c r="C20" s="45" t="s">
        <v>89</v>
      </c>
      <c r="D20" s="66" t="str">
        <f t="shared" si="0"/>
        <v>子鼠</v>
      </c>
      <c r="E20" s="67">
        <f>物品!E109</f>
        <v>0</v>
      </c>
      <c r="F20" s="46" t="s">
        <v>90</v>
      </c>
      <c r="G20" s="68" t="s">
        <v>56</v>
      </c>
      <c r="H20" s="68" t="s">
        <v>56</v>
      </c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52"/>
    </row>
    <row r="21" spans="2:23">
      <c r="B21" s="65" t="s">
        <v>53</v>
      </c>
      <c r="C21" s="45" t="s">
        <v>91</v>
      </c>
      <c r="D21" s="66" t="str">
        <f t="shared" si="0"/>
        <v>丑牛</v>
      </c>
      <c r="E21" s="67">
        <f>物品!E110</f>
        <v>0</v>
      </c>
      <c r="F21" s="69" t="s">
        <v>92</v>
      </c>
      <c r="G21" s="68" t="s">
        <v>56</v>
      </c>
      <c r="H21" s="68" t="s">
        <v>56</v>
      </c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52"/>
    </row>
    <row r="22" spans="2:23">
      <c r="B22" s="65" t="s">
        <v>53</v>
      </c>
      <c r="C22" s="45" t="s">
        <v>93</v>
      </c>
      <c r="D22" s="66" t="str">
        <f t="shared" si="0"/>
        <v>寅虎</v>
      </c>
      <c r="E22" s="67">
        <f>物品!E111</f>
        <v>0</v>
      </c>
      <c r="F22" s="69" t="s">
        <v>94</v>
      </c>
      <c r="G22" s="68" t="s">
        <v>56</v>
      </c>
      <c r="H22" s="68" t="s">
        <v>56</v>
      </c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52"/>
    </row>
    <row r="23" spans="2:23">
      <c r="B23" s="65" t="s">
        <v>53</v>
      </c>
      <c r="C23" s="70" t="s">
        <v>95</v>
      </c>
      <c r="D23" s="66" t="str">
        <f t="shared" si="0"/>
        <v>卯兔</v>
      </c>
      <c r="E23" s="67">
        <f>物品!E112</f>
        <v>0</v>
      </c>
      <c r="F23" s="69" t="s">
        <v>96</v>
      </c>
      <c r="G23" s="68" t="s">
        <v>56</v>
      </c>
      <c r="H23" s="68" t="s">
        <v>56</v>
      </c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52"/>
    </row>
    <row r="24" spans="2:23">
      <c r="B24" s="65" t="s">
        <v>53</v>
      </c>
      <c r="C24" s="45" t="s">
        <v>97</v>
      </c>
      <c r="D24" s="66" t="str">
        <f t="shared" si="0"/>
        <v>辰龙</v>
      </c>
      <c r="E24" s="67">
        <f>物品!E113</f>
        <v>0</v>
      </c>
      <c r="F24" s="69" t="s">
        <v>98</v>
      </c>
      <c r="G24" s="68" t="s">
        <v>56</v>
      </c>
      <c r="H24" s="68" t="s">
        <v>56</v>
      </c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52"/>
    </row>
    <row r="25" spans="2:23">
      <c r="B25" s="65" t="s">
        <v>53</v>
      </c>
      <c r="C25" s="70" t="s">
        <v>99</v>
      </c>
      <c r="D25" s="66" t="str">
        <f t="shared" si="0"/>
        <v>巳蛇</v>
      </c>
      <c r="E25" s="67">
        <f>物品!E114</f>
        <v>0</v>
      </c>
      <c r="F25" s="69" t="s">
        <v>100</v>
      </c>
      <c r="G25" s="68" t="s">
        <v>56</v>
      </c>
      <c r="H25" s="68" t="s">
        <v>56</v>
      </c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52"/>
    </row>
    <row r="26" spans="2:23">
      <c r="B26" s="65" t="s">
        <v>53</v>
      </c>
      <c r="C26" s="45" t="s">
        <v>101</v>
      </c>
      <c r="D26" s="66" t="str">
        <f t="shared" si="0"/>
        <v>午马</v>
      </c>
      <c r="E26" s="67">
        <f>物品!E115</f>
        <v>0</v>
      </c>
      <c r="F26" s="69" t="s">
        <v>102</v>
      </c>
      <c r="G26" s="68" t="s">
        <v>56</v>
      </c>
      <c r="H26" s="68" t="s">
        <v>56</v>
      </c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52"/>
    </row>
    <row r="27" spans="2:23">
      <c r="B27" s="65" t="s">
        <v>53</v>
      </c>
      <c r="C27" s="45" t="s">
        <v>103</v>
      </c>
      <c r="D27" s="66" t="str">
        <f t="shared" si="0"/>
        <v>未羊</v>
      </c>
      <c r="E27" s="67">
        <f>物品!E116</f>
        <v>0</v>
      </c>
      <c r="F27" s="69" t="s">
        <v>104</v>
      </c>
      <c r="G27" s="68" t="s">
        <v>56</v>
      </c>
      <c r="H27" s="68" t="s">
        <v>56</v>
      </c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52"/>
    </row>
    <row r="28" spans="2:23">
      <c r="B28" s="65" t="s">
        <v>53</v>
      </c>
      <c r="C28" s="45" t="s">
        <v>105</v>
      </c>
      <c r="D28" s="66" t="str">
        <f t="shared" si="0"/>
        <v>申猴</v>
      </c>
      <c r="E28" s="67">
        <f>物品!E117</f>
        <v>0</v>
      </c>
      <c r="F28" s="69" t="s">
        <v>106</v>
      </c>
      <c r="G28" s="68" t="s">
        <v>56</v>
      </c>
      <c r="H28" s="68" t="s">
        <v>56</v>
      </c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52"/>
    </row>
    <row r="29" ht="15.6" spans="2:23">
      <c r="B29" s="65" t="s">
        <v>53</v>
      </c>
      <c r="C29" s="71" t="s">
        <v>107</v>
      </c>
      <c r="D29" s="66" t="str">
        <f t="shared" si="0"/>
        <v>酉鸡</v>
      </c>
      <c r="E29" s="67">
        <f>物品!E118</f>
        <v>0</v>
      </c>
      <c r="F29" s="69" t="s">
        <v>108</v>
      </c>
      <c r="G29" s="68" t="s">
        <v>56</v>
      </c>
      <c r="H29" s="68" t="s">
        <v>56</v>
      </c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2"/>
    </row>
    <row r="30" spans="2:23">
      <c r="B30" s="65" t="s">
        <v>53</v>
      </c>
      <c r="C30" s="70" t="s">
        <v>109</v>
      </c>
      <c r="D30" s="66" t="str">
        <f t="shared" si="0"/>
        <v>戌狗</v>
      </c>
      <c r="E30" s="67">
        <f>物品!E119</f>
        <v>0</v>
      </c>
      <c r="F30" s="69" t="s">
        <v>110</v>
      </c>
      <c r="G30" s="68" t="s">
        <v>56</v>
      </c>
      <c r="H30" s="68" t="s">
        <v>56</v>
      </c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52"/>
    </row>
    <row r="31" ht="14.4" spans="2:23">
      <c r="B31" s="65" t="s">
        <v>53</v>
      </c>
      <c r="C31" s="72" t="s">
        <v>111</v>
      </c>
      <c r="D31" s="66" t="str">
        <f t="shared" si="0"/>
        <v>亥猪</v>
      </c>
      <c r="E31" s="67">
        <f>物品!E120</f>
        <v>0</v>
      </c>
      <c r="F31" s="69" t="s">
        <v>112</v>
      </c>
      <c r="G31" s="68" t="s">
        <v>56</v>
      </c>
      <c r="H31" s="68" t="s">
        <v>56</v>
      </c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2"/>
    </row>
    <row r="32" ht="14.4" spans="2:23">
      <c r="B32" s="65" t="s">
        <v>53</v>
      </c>
      <c r="C32" s="72" t="s">
        <v>113</v>
      </c>
      <c r="D32" s="66" t="str">
        <f t="shared" si="0"/>
        <v>立春雨水</v>
      </c>
      <c r="E32" s="67">
        <f>物品!E121</f>
        <v>0</v>
      </c>
      <c r="F32" s="69" t="s">
        <v>114</v>
      </c>
      <c r="G32" s="68" t="s">
        <v>56</v>
      </c>
      <c r="H32" s="68" t="s">
        <v>56</v>
      </c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52"/>
    </row>
    <row r="33" spans="2:23">
      <c r="B33" s="65" t="s">
        <v>53</v>
      </c>
      <c r="C33" s="45" t="s">
        <v>115</v>
      </c>
      <c r="D33" s="66" t="str">
        <f t="shared" si="0"/>
        <v>惊蛰春分</v>
      </c>
      <c r="E33" s="67">
        <f>物品!E122</f>
        <v>0</v>
      </c>
      <c r="F33" s="69" t="s">
        <v>116</v>
      </c>
      <c r="G33" s="68" t="s">
        <v>56</v>
      </c>
      <c r="H33" s="68" t="s">
        <v>56</v>
      </c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52"/>
    </row>
    <row r="34" spans="2:23">
      <c r="B34" s="65" t="s">
        <v>53</v>
      </c>
      <c r="C34" s="45" t="s">
        <v>117</v>
      </c>
      <c r="D34" s="66" t="str">
        <f t="shared" si="0"/>
        <v>清明谷雨</v>
      </c>
      <c r="E34" s="67">
        <f>物品!E123</f>
        <v>0</v>
      </c>
      <c r="F34" s="69" t="s">
        <v>118</v>
      </c>
      <c r="G34" s="68" t="s">
        <v>56</v>
      </c>
      <c r="H34" s="68" t="s">
        <v>56</v>
      </c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52"/>
    </row>
    <row r="35" spans="2:23">
      <c r="B35" s="65" t="s">
        <v>53</v>
      </c>
      <c r="C35" s="45" t="s">
        <v>119</v>
      </c>
      <c r="D35" s="66" t="str">
        <f t="shared" si="0"/>
        <v>立夏小满</v>
      </c>
      <c r="E35" s="67">
        <f>物品!E124</f>
        <v>0</v>
      </c>
      <c r="F35" s="69" t="s">
        <v>120</v>
      </c>
      <c r="G35" s="68" t="s">
        <v>56</v>
      </c>
      <c r="H35" s="68" t="s">
        <v>56</v>
      </c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52"/>
    </row>
    <row r="36" spans="2:23">
      <c r="B36" s="65" t="s">
        <v>53</v>
      </c>
      <c r="C36" s="45" t="s">
        <v>121</v>
      </c>
      <c r="D36" s="66" t="str">
        <f t="shared" si="0"/>
        <v>芒种夏至</v>
      </c>
      <c r="E36" s="67">
        <f>物品!E125</f>
        <v>0</v>
      </c>
      <c r="F36" s="69" t="s">
        <v>122</v>
      </c>
      <c r="G36" s="68" t="s">
        <v>56</v>
      </c>
      <c r="H36" s="68" t="s">
        <v>56</v>
      </c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52"/>
    </row>
    <row r="37" spans="2:23">
      <c r="B37" s="65" t="s">
        <v>53</v>
      </c>
      <c r="C37" s="45" t="s">
        <v>123</v>
      </c>
      <c r="D37" s="66" t="str">
        <f t="shared" si="0"/>
        <v>小暑大暑</v>
      </c>
      <c r="E37" s="67">
        <f>物品!E126</f>
        <v>0</v>
      </c>
      <c r="F37" s="69" t="s">
        <v>124</v>
      </c>
      <c r="G37" s="68" t="s">
        <v>56</v>
      </c>
      <c r="H37" s="68" t="s">
        <v>56</v>
      </c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52"/>
    </row>
    <row r="38" spans="2:23">
      <c r="B38" s="65" t="s">
        <v>53</v>
      </c>
      <c r="C38" s="45" t="s">
        <v>125</v>
      </c>
      <c r="D38" s="66" t="str">
        <f t="shared" si="0"/>
        <v>立秋处暑</v>
      </c>
      <c r="E38" s="67">
        <f>物品!E127</f>
        <v>0</v>
      </c>
      <c r="F38" s="69" t="s">
        <v>126</v>
      </c>
      <c r="G38" s="68" t="s">
        <v>56</v>
      </c>
      <c r="H38" s="68" t="s">
        <v>56</v>
      </c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52"/>
    </row>
    <row r="39" spans="2:23">
      <c r="B39" s="65" t="s">
        <v>53</v>
      </c>
      <c r="C39" s="45" t="s">
        <v>127</v>
      </c>
      <c r="D39" s="66" t="str">
        <f t="shared" si="0"/>
        <v>白露秋分</v>
      </c>
      <c r="E39" s="67">
        <f>物品!E128</f>
        <v>0</v>
      </c>
      <c r="F39" s="69" t="s">
        <v>128</v>
      </c>
      <c r="G39" s="68" t="s">
        <v>56</v>
      </c>
      <c r="H39" s="68" t="s">
        <v>56</v>
      </c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52"/>
    </row>
    <row r="40" spans="2:23">
      <c r="B40" s="65" t="s">
        <v>53</v>
      </c>
      <c r="C40" s="45" t="s">
        <v>129</v>
      </c>
      <c r="D40" s="66" t="str">
        <f t="shared" si="0"/>
        <v>寒露霜降</v>
      </c>
      <c r="E40" s="67">
        <f>物品!E129</f>
        <v>0</v>
      </c>
      <c r="F40" s="69" t="s">
        <v>130</v>
      </c>
      <c r="G40" s="68" t="s">
        <v>56</v>
      </c>
      <c r="H40" s="68" t="s">
        <v>56</v>
      </c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52"/>
    </row>
    <row r="41" spans="2:23">
      <c r="B41" s="65" t="s">
        <v>53</v>
      </c>
      <c r="C41" s="45" t="s">
        <v>131</v>
      </c>
      <c r="D41" s="66" t="str">
        <f t="shared" si="0"/>
        <v>立冬小雪</v>
      </c>
      <c r="E41" s="67">
        <f>物品!E130</f>
        <v>0</v>
      </c>
      <c r="F41" s="69" t="s">
        <v>132</v>
      </c>
      <c r="G41" s="68" t="s">
        <v>56</v>
      </c>
      <c r="H41" s="68" t="s">
        <v>56</v>
      </c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52"/>
    </row>
    <row r="42" spans="2:23">
      <c r="B42" s="65" t="s">
        <v>53</v>
      </c>
      <c r="C42" s="45" t="s">
        <v>133</v>
      </c>
      <c r="D42" s="66" t="str">
        <f t="shared" si="0"/>
        <v>大雪冬至</v>
      </c>
      <c r="E42" s="67">
        <f>物品!E131</f>
        <v>0</v>
      </c>
      <c r="F42" s="69" t="s">
        <v>134</v>
      </c>
      <c r="G42" s="68" t="s">
        <v>56</v>
      </c>
      <c r="H42" s="68" t="s">
        <v>56</v>
      </c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52"/>
    </row>
    <row r="43" spans="2:23">
      <c r="B43" s="65" t="s">
        <v>53</v>
      </c>
      <c r="C43" s="45" t="s">
        <v>135</v>
      </c>
      <c r="D43" s="66" t="str">
        <f t="shared" si="0"/>
        <v>小寒大寒</v>
      </c>
      <c r="E43" s="67">
        <f>物品!E132</f>
        <v>0</v>
      </c>
      <c r="F43" s="69" t="s">
        <v>136</v>
      </c>
      <c r="G43" s="68" t="s">
        <v>56</v>
      </c>
      <c r="H43" s="68" t="s">
        <v>56</v>
      </c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52"/>
    </row>
    <row r="44" spans="2:23">
      <c r="B44" s="65" t="s">
        <v>53</v>
      </c>
      <c r="C44" s="45" t="s">
        <v>137</v>
      </c>
      <c r="D44" s="66" t="str">
        <f t="shared" si="0"/>
        <v>青龙圣力</v>
      </c>
      <c r="E44" s="67">
        <f>物品!E133</f>
        <v>0</v>
      </c>
      <c r="F44" s="73" t="s">
        <v>138</v>
      </c>
      <c r="G44" s="68" t="s">
        <v>56</v>
      </c>
      <c r="H44" s="68" t="s">
        <v>56</v>
      </c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52"/>
    </row>
    <row r="45" spans="2:23">
      <c r="B45" s="65" t="s">
        <v>53</v>
      </c>
      <c r="C45" s="45" t="s">
        <v>139</v>
      </c>
      <c r="D45" s="66" t="str">
        <f t="shared" si="0"/>
        <v>白虎圣力</v>
      </c>
      <c r="E45" s="67">
        <f>物品!E134</f>
        <v>0</v>
      </c>
      <c r="F45" s="73" t="s">
        <v>140</v>
      </c>
      <c r="G45" s="68" t="s">
        <v>56</v>
      </c>
      <c r="H45" s="68" t="s">
        <v>56</v>
      </c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52"/>
    </row>
    <row r="46" spans="2:23">
      <c r="B46" s="65" t="s">
        <v>53</v>
      </c>
      <c r="C46" s="74" t="s">
        <v>141</v>
      </c>
      <c r="D46" s="66" t="str">
        <f t="shared" si="0"/>
        <v>朱雀圣力</v>
      </c>
      <c r="E46" s="67">
        <f>物品!E135</f>
        <v>0</v>
      </c>
      <c r="F46" s="73" t="s">
        <v>142</v>
      </c>
      <c r="G46" s="68" t="s">
        <v>56</v>
      </c>
      <c r="H46" s="68" t="s">
        <v>56</v>
      </c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52"/>
    </row>
    <row r="47" spans="2:23">
      <c r="B47" s="65" t="s">
        <v>53</v>
      </c>
      <c r="C47" s="74" t="s">
        <v>143</v>
      </c>
      <c r="D47" s="66" t="str">
        <f t="shared" si="0"/>
        <v>玄武圣力</v>
      </c>
      <c r="E47" s="67">
        <f>物品!E136</f>
        <v>0</v>
      </c>
      <c r="F47" s="75" t="s">
        <v>144</v>
      </c>
      <c r="G47" s="68" t="s">
        <v>56</v>
      </c>
      <c r="H47" s="68" t="s">
        <v>56</v>
      </c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52"/>
    </row>
    <row r="48" spans="2:23">
      <c r="B48" s="65" t="s">
        <v>53</v>
      </c>
      <c r="C48" s="45" t="s">
        <v>145</v>
      </c>
      <c r="D48" s="66" t="str">
        <f t="shared" si="0"/>
        <v>生命蓝灵</v>
      </c>
      <c r="E48" s="67">
        <f>物品!E137</f>
        <v>0</v>
      </c>
      <c r="F48" s="75" t="s">
        <v>146</v>
      </c>
      <c r="G48" s="68" t="s">
        <v>56</v>
      </c>
      <c r="H48" s="68" t="s">
        <v>56</v>
      </c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52"/>
    </row>
    <row r="49" spans="2:23">
      <c r="B49" s="65" t="s">
        <v>53</v>
      </c>
      <c r="C49" s="45" t="s">
        <v>147</v>
      </c>
      <c r="D49" s="66" t="str">
        <f t="shared" si="0"/>
        <v>风之青灵</v>
      </c>
      <c r="E49" s="67">
        <f>物品!E138</f>
        <v>0</v>
      </c>
      <c r="F49" s="75" t="s">
        <v>148</v>
      </c>
      <c r="G49" s="68" t="s">
        <v>56</v>
      </c>
      <c r="H49" s="68" t="s">
        <v>56</v>
      </c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52"/>
    </row>
    <row r="50" spans="2:23">
      <c r="B50" s="65" t="s">
        <v>53</v>
      </c>
      <c r="C50" s="45" t="s">
        <v>149</v>
      </c>
      <c r="D50" s="66" t="str">
        <f t="shared" si="0"/>
        <v>意志狂灵</v>
      </c>
      <c r="E50" s="67">
        <f>物品!E139</f>
        <v>0</v>
      </c>
      <c r="F50" s="75" t="s">
        <v>150</v>
      </c>
      <c r="G50" s="68" t="s">
        <v>56</v>
      </c>
      <c r="H50" s="68" t="s">
        <v>56</v>
      </c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52"/>
    </row>
    <row r="51" spans="2:23">
      <c r="B51" s="65" t="s">
        <v>53</v>
      </c>
      <c r="C51" s="45" t="s">
        <v>151</v>
      </c>
      <c r="D51" s="66" t="str">
        <f t="shared" si="0"/>
        <v>烈焰红灵</v>
      </c>
      <c r="E51" s="67">
        <f>物品!E140</f>
        <v>0</v>
      </c>
      <c r="F51" s="75" t="s">
        <v>152</v>
      </c>
      <c r="G51" s="68" t="s">
        <v>56</v>
      </c>
      <c r="H51" s="68" t="s">
        <v>56</v>
      </c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52"/>
    </row>
    <row r="52" spans="2:23">
      <c r="B52" s="65" t="s">
        <v>53</v>
      </c>
      <c r="C52" s="45" t="s">
        <v>153</v>
      </c>
      <c r="D52" s="66" t="str">
        <f t="shared" si="0"/>
        <v>尊灵羁绊</v>
      </c>
      <c r="E52" s="67">
        <f>物品!E141</f>
        <v>0</v>
      </c>
      <c r="F52" s="75" t="s">
        <v>154</v>
      </c>
      <c r="G52" s="68" t="s">
        <v>56</v>
      </c>
      <c r="H52" s="68" t="s">
        <v>56</v>
      </c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52"/>
    </row>
    <row r="53" spans="2:23">
      <c r="B53" s="65" t="s">
        <v>53</v>
      </c>
      <c r="C53" s="45" t="s">
        <v>155</v>
      </c>
      <c r="D53" s="66" t="str">
        <f t="shared" si="0"/>
        <v>雷霆羁绊</v>
      </c>
      <c r="E53" s="67">
        <f>物品!E142</f>
        <v>0</v>
      </c>
      <c r="F53" s="75" t="s">
        <v>156</v>
      </c>
      <c r="G53" s="68" t="s">
        <v>56</v>
      </c>
      <c r="H53" s="68" t="s">
        <v>56</v>
      </c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52"/>
    </row>
    <row r="54" spans="2:23">
      <c r="B54" s="65" t="s">
        <v>53</v>
      </c>
      <c r="C54" s="45" t="s">
        <v>157</v>
      </c>
      <c r="D54" s="66" t="str">
        <f t="shared" si="0"/>
        <v>裂元羁绊</v>
      </c>
      <c r="E54" s="67">
        <f>物品!E143</f>
        <v>0</v>
      </c>
      <c r="F54" s="76" t="s">
        <v>158</v>
      </c>
      <c r="G54" s="68" t="s">
        <v>56</v>
      </c>
      <c r="H54" s="68" t="s">
        <v>56</v>
      </c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52"/>
    </row>
    <row r="55" spans="2:23">
      <c r="B55" s="65" t="s">
        <v>53</v>
      </c>
      <c r="C55" s="45" t="s">
        <v>159</v>
      </c>
      <c r="D55" s="66" t="str">
        <f t="shared" si="0"/>
        <v>夜阑羁绊</v>
      </c>
      <c r="E55" s="67">
        <f>物品!E144</f>
        <v>0</v>
      </c>
      <c r="F55" s="76" t="s">
        <v>160</v>
      </c>
      <c r="G55" s="68" t="s">
        <v>56</v>
      </c>
      <c r="H55" s="68" t="s">
        <v>56</v>
      </c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52"/>
    </row>
    <row r="56" spans="2:23">
      <c r="B56" s="65" t="s">
        <v>53</v>
      </c>
      <c r="C56" s="45" t="s">
        <v>161</v>
      </c>
      <c r="D56" s="66" t="str">
        <f t="shared" si="0"/>
        <v>血魂羁绊</v>
      </c>
      <c r="E56" s="67">
        <f>物品!E145</f>
        <v>0</v>
      </c>
      <c r="F56" s="76" t="s">
        <v>162</v>
      </c>
      <c r="G56" s="68" t="s">
        <v>56</v>
      </c>
      <c r="H56" s="68" t="s">
        <v>56</v>
      </c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52"/>
    </row>
    <row r="57" spans="2:23">
      <c r="B57" s="65" t="s">
        <v>53</v>
      </c>
      <c r="C57" s="45" t="s">
        <v>163</v>
      </c>
      <c r="D57" s="66" t="str">
        <f t="shared" si="0"/>
        <v>黑月羁绊</v>
      </c>
      <c r="E57" s="67">
        <f>物品!E146</f>
        <v>0</v>
      </c>
      <c r="F57" s="76" t="s">
        <v>164</v>
      </c>
      <c r="G57" s="68" t="s">
        <v>56</v>
      </c>
      <c r="H57" s="68" t="s">
        <v>56</v>
      </c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52"/>
    </row>
    <row r="58" spans="2:23">
      <c r="B58" s="65" t="s">
        <v>53</v>
      </c>
      <c r="C58" s="45" t="s">
        <v>165</v>
      </c>
      <c r="D58" s="66" t="str">
        <f t="shared" si="0"/>
        <v>炼狱羁绊</v>
      </c>
      <c r="E58" s="67">
        <f>物品!E147</f>
        <v>0</v>
      </c>
      <c r="F58" s="76" t="s">
        <v>166</v>
      </c>
      <c r="G58" s="68" t="s">
        <v>56</v>
      </c>
      <c r="H58" s="68" t="s">
        <v>56</v>
      </c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52"/>
    </row>
    <row r="59" spans="2:23">
      <c r="B59" s="65" t="s">
        <v>53</v>
      </c>
      <c r="C59" s="45" t="s">
        <v>167</v>
      </c>
      <c r="D59" s="66" t="str">
        <f t="shared" si="0"/>
        <v>幽冥羁绊</v>
      </c>
      <c r="E59" s="67">
        <f>物品!E148</f>
        <v>0</v>
      </c>
      <c r="F59" s="76" t="s">
        <v>168</v>
      </c>
      <c r="G59" s="68" t="s">
        <v>56</v>
      </c>
      <c r="H59" s="68" t="s">
        <v>56</v>
      </c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52"/>
    </row>
    <row r="60" spans="2:23">
      <c r="B60" s="65" t="s">
        <v>53</v>
      </c>
      <c r="C60" s="74" t="s">
        <v>169</v>
      </c>
      <c r="D60" s="66" t="str">
        <f t="shared" si="0"/>
        <v>盘古斧</v>
      </c>
      <c r="E60" s="67">
        <f>物品!E149</f>
        <v>0</v>
      </c>
      <c r="F60" s="76" t="s">
        <v>170</v>
      </c>
      <c r="G60" s="68" t="s">
        <v>56</v>
      </c>
      <c r="H60" s="68" t="s">
        <v>56</v>
      </c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52"/>
    </row>
    <row r="61" spans="2:23">
      <c r="B61" s="65" t="s">
        <v>53</v>
      </c>
      <c r="C61" s="74" t="s">
        <v>171</v>
      </c>
      <c r="D61" s="66" t="str">
        <f t="shared" si="0"/>
        <v>神农鼎</v>
      </c>
      <c r="E61" s="67">
        <f>物品!E150</f>
        <v>0</v>
      </c>
      <c r="F61" s="76" t="s">
        <v>172</v>
      </c>
      <c r="G61" s="68" t="s">
        <v>56</v>
      </c>
      <c r="H61" s="68" t="s">
        <v>56</v>
      </c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52"/>
    </row>
    <row r="62" spans="2:23">
      <c r="B62" s="65" t="s">
        <v>53</v>
      </c>
      <c r="C62" s="74" t="s">
        <v>173</v>
      </c>
      <c r="D62" s="66" t="str">
        <f t="shared" si="0"/>
        <v>后羿弓</v>
      </c>
      <c r="E62" s="67">
        <f>物品!E151</f>
        <v>0</v>
      </c>
      <c r="F62" s="76" t="s">
        <v>174</v>
      </c>
      <c r="G62" s="68" t="s">
        <v>56</v>
      </c>
      <c r="H62" s="68" t="s">
        <v>56</v>
      </c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52"/>
    </row>
    <row r="63" spans="2:23">
      <c r="B63" s="65" t="s">
        <v>53</v>
      </c>
      <c r="C63" s="74" t="s">
        <v>175</v>
      </c>
      <c r="D63" s="66" t="str">
        <f t="shared" si="0"/>
        <v>轩辕剑</v>
      </c>
      <c r="E63" s="67">
        <f>物品!E152</f>
        <v>0</v>
      </c>
      <c r="F63" s="76" t="s">
        <v>176</v>
      </c>
      <c r="G63" s="68" t="s">
        <v>56</v>
      </c>
      <c r="H63" s="68" t="s">
        <v>56</v>
      </c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52"/>
    </row>
    <row r="64" spans="2:23">
      <c r="B64" s="65" t="s">
        <v>53</v>
      </c>
      <c r="C64" s="77" t="str">
        <f>MID(单位!C128,1,2)&amp;"境界"</f>
        <v>境界</v>
      </c>
      <c r="D64" s="78" t="str">
        <f t="shared" si="0"/>
        <v>境界</v>
      </c>
      <c r="E64" s="67" t="str">
        <f>"|cff00ccff效果：|n|r全属性+|cffffff00"&amp;辅助表格!A35&amp;"|n|r伤害加成+|cffffff001|r%|n伤害减免+|cffffff001|r%|n真实伤害+|cffffff00500|r"</f>
        <v>|cff00ccff效果：|n|r全属性+|cffffff00|n|r伤害加成+|cffffff001|r%|n伤害减免+|cffffff001|r%|n真实伤害+|cffffff00500|r</v>
      </c>
      <c r="F64" s="76" t="s">
        <v>177</v>
      </c>
      <c r="G64" s="68" t="s">
        <v>56</v>
      </c>
      <c r="H64" s="68" t="s">
        <v>56</v>
      </c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52"/>
    </row>
    <row r="65" spans="2:23">
      <c r="B65" s="65" t="s">
        <v>53</v>
      </c>
      <c r="C65" s="77" t="str">
        <f>MID(单位!C129,1,2)&amp;"境界"</f>
        <v>境界</v>
      </c>
      <c r="D65" s="78" t="str">
        <f t="shared" si="0"/>
        <v>境界</v>
      </c>
      <c r="E65" s="67" t="str">
        <f>"|cff00ccff效果：|n|r全属性+|cffffff00"&amp;辅助表格!A36&amp;"|n|r伤害加成+|cffffff001|r%|n伤害减免+|cffffff001|r%|n真实伤害+|cffffff00500|r"</f>
        <v>|cff00ccff效果：|n|r全属性+|cffffff00|n|r伤害加成+|cffffff001|r%|n伤害减免+|cffffff001|r%|n真实伤害+|cffffff00500|r</v>
      </c>
      <c r="F65" s="76" t="s">
        <v>178</v>
      </c>
      <c r="G65" s="68" t="s">
        <v>56</v>
      </c>
      <c r="H65" s="68" t="s">
        <v>56</v>
      </c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52"/>
    </row>
    <row r="66" spans="2:23">
      <c r="B66" s="65" t="s">
        <v>53</v>
      </c>
      <c r="C66" s="77" t="str">
        <f>MID(单位!C130,1,2)&amp;"境界"</f>
        <v>境界</v>
      </c>
      <c r="D66" s="78" t="str">
        <f t="shared" si="0"/>
        <v>境界</v>
      </c>
      <c r="E66" s="67" t="str">
        <f>"|cff00ccff效果：|n|r全属性+|cffffff00"&amp;辅助表格!A37&amp;"|n|r伤害加成+|cffffff001|r%|n伤害减免+|cffffff001|r%|n真实伤害+|cffffff00500|r"</f>
        <v>|cff00ccff效果：|n|r全属性+|cffffff00|n|r伤害加成+|cffffff001|r%|n伤害减免+|cffffff001|r%|n真实伤害+|cffffff00500|r</v>
      </c>
      <c r="F66" s="76" t="s">
        <v>179</v>
      </c>
      <c r="G66" s="68" t="s">
        <v>56</v>
      </c>
      <c r="H66" s="68" t="s">
        <v>56</v>
      </c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52"/>
    </row>
    <row r="67" spans="2:23">
      <c r="B67" s="65" t="s">
        <v>53</v>
      </c>
      <c r="C67" s="77" t="str">
        <f>MID(单位!C131,1,2)&amp;"境界"</f>
        <v>境界</v>
      </c>
      <c r="D67" s="78" t="str">
        <f t="shared" si="0"/>
        <v>境界</v>
      </c>
      <c r="E67" s="67" t="str">
        <f>"|cff00ccff效果：|n|r全属性+|cffffff00"&amp;辅助表格!A38&amp;"|n|r伤害加成+|cffffff001|r%|n伤害减免+|cffffff001|r%|n真实伤害+|cffffff00500|r"</f>
        <v>|cff00ccff效果：|n|r全属性+|cffffff00|n|r伤害加成+|cffffff001|r%|n伤害减免+|cffffff001|r%|n真实伤害+|cffffff00500|r</v>
      </c>
      <c r="F67" s="76" t="s">
        <v>180</v>
      </c>
      <c r="G67" s="68" t="s">
        <v>56</v>
      </c>
      <c r="H67" s="68" t="s">
        <v>56</v>
      </c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52"/>
    </row>
    <row r="68" spans="2:23">
      <c r="B68" s="65" t="s">
        <v>53</v>
      </c>
      <c r="C68" s="77" t="str">
        <f>MID(单位!C132,1,2)&amp;"境界"</f>
        <v>境界</v>
      </c>
      <c r="D68" s="78" t="str">
        <f t="shared" ref="D68:D83" si="1">C68</f>
        <v>境界</v>
      </c>
      <c r="E68" s="67" t="str">
        <f>"|cff00ccff效果：|n|r全属性+|cffffff00"&amp;辅助表格!A39&amp;"|n|r伤害加成+|cffffff001|r%|n伤害减免+|cffffff001|r%|n真实伤害+|cffffff00500|r"</f>
        <v>|cff00ccff效果：|n|r全属性+|cffffff00|n|r伤害加成+|cffffff001|r%|n伤害减免+|cffffff001|r%|n真实伤害+|cffffff00500|r</v>
      </c>
      <c r="F68" s="76" t="s">
        <v>181</v>
      </c>
      <c r="G68" s="68" t="s">
        <v>56</v>
      </c>
      <c r="H68" s="68" t="s">
        <v>56</v>
      </c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52"/>
    </row>
    <row r="69" spans="2:23">
      <c r="B69" s="65" t="s">
        <v>53</v>
      </c>
      <c r="C69" s="77" t="str">
        <f>MID(单位!C133,1,2)&amp;"境界"</f>
        <v>境界</v>
      </c>
      <c r="D69" s="78" t="str">
        <f t="shared" si="1"/>
        <v>境界</v>
      </c>
      <c r="E69" s="67" t="str">
        <f>"|cff00ccff效果：|n|r全属性+|cffffff00"&amp;辅助表格!A40&amp;"|n|r伤害加成+|cffffff001|r%|n伤害减免+|cffffff001|r%|n真实伤害+|cffffff00500|r"</f>
        <v>|cff00ccff效果：|n|r全属性+|cffffff00|n|r伤害加成+|cffffff001|r%|n伤害减免+|cffffff001|r%|n真实伤害+|cffffff00500|r</v>
      </c>
      <c r="F69" s="76" t="s">
        <v>182</v>
      </c>
      <c r="G69" s="68" t="s">
        <v>56</v>
      </c>
      <c r="H69" s="68" t="s">
        <v>56</v>
      </c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52"/>
    </row>
    <row r="70" spans="2:23">
      <c r="B70" s="65" t="s">
        <v>53</v>
      </c>
      <c r="C70" s="77" t="str">
        <f>MID(单位!C134,1,2)&amp;"境界"</f>
        <v>境界</v>
      </c>
      <c r="D70" s="78" t="str">
        <f t="shared" si="1"/>
        <v>境界</v>
      </c>
      <c r="E70" s="67" t="str">
        <f>"|cff00ccff效果：|n|r全属性+|cffffff00"&amp;辅助表格!A41&amp;"|n|r伤害加成+|cffffff001|r%|n伤害减免+|cffffff001|r%|n真实伤害+|cffffff00500|r"</f>
        <v>|cff00ccff效果：|n|r全属性+|cffffff00|n|r伤害加成+|cffffff001|r%|n伤害减免+|cffffff001|r%|n真实伤害+|cffffff00500|r</v>
      </c>
      <c r="F70" s="76" t="s">
        <v>183</v>
      </c>
      <c r="G70" s="68" t="s">
        <v>56</v>
      </c>
      <c r="H70" s="68" t="s">
        <v>56</v>
      </c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52"/>
    </row>
    <row r="71" spans="2:23">
      <c r="B71" s="65" t="s">
        <v>53</v>
      </c>
      <c r="C71" s="77" t="str">
        <f>MID(单位!C135,1,2)&amp;"境界"</f>
        <v>境界</v>
      </c>
      <c r="D71" s="78" t="str">
        <f t="shared" si="1"/>
        <v>境界</v>
      </c>
      <c r="E71" s="67" t="str">
        <f>"|cff00ccff效果：|n|r全属性+|cffffff00"&amp;辅助表格!A42&amp;"|n|r伤害加成+|cffffff001|r%|n伤害减免+|cffffff001|r%|n真实伤害+|cffffff00500|r"</f>
        <v>|cff00ccff效果：|n|r全属性+|cffffff00|n|r伤害加成+|cffffff001|r%|n伤害减免+|cffffff001|r%|n真实伤害+|cffffff00500|r</v>
      </c>
      <c r="F71" s="76" t="s">
        <v>184</v>
      </c>
      <c r="G71" s="68" t="s">
        <v>56</v>
      </c>
      <c r="H71" s="68" t="s">
        <v>56</v>
      </c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52"/>
    </row>
    <row r="72" spans="2:23">
      <c r="B72" s="65" t="s">
        <v>53</v>
      </c>
      <c r="C72" s="77" t="str">
        <f>MID(单位!C136,1,2)&amp;"境界"</f>
        <v>境界</v>
      </c>
      <c r="D72" s="78" t="str">
        <f t="shared" si="1"/>
        <v>境界</v>
      </c>
      <c r="E72" s="67" t="str">
        <f>"|cff00ccff效果：|n|r全属性+|cffffff00"&amp;辅助表格!A43&amp;"|n|r伤害加成+|cffffff001|r%|n伤害减免+|cffffff001|r%|n真实伤害+|cffffff00500|r"</f>
        <v>|cff00ccff效果：|n|r全属性+|cffffff00|n|r伤害加成+|cffffff001|r%|n伤害减免+|cffffff001|r%|n真实伤害+|cffffff00500|r</v>
      </c>
      <c r="F72" s="76" t="s">
        <v>185</v>
      </c>
      <c r="G72" s="68" t="s">
        <v>56</v>
      </c>
      <c r="H72" s="68" t="s">
        <v>56</v>
      </c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52"/>
    </row>
    <row r="73" spans="2:23">
      <c r="B73" s="65" t="s">
        <v>53</v>
      </c>
      <c r="C73" s="77" t="str">
        <f>MID(单位!C137,1,2)&amp;"境界"</f>
        <v>境界</v>
      </c>
      <c r="D73" s="78" t="str">
        <f t="shared" si="1"/>
        <v>境界</v>
      </c>
      <c r="E73" s="67" t="str">
        <f>"|cff00ccff效果：|n|r全属性+|cffffff00"&amp;辅助表格!A44&amp;"|n|r伤害加成+|cffffff001|r%|n伤害减免+|cffffff001|r%|n真实伤害+|cffffff00500|r"</f>
        <v>|cff00ccff效果：|n|r全属性+|cffffff00|n|r伤害加成+|cffffff001|r%|n伤害减免+|cffffff001|r%|n真实伤害+|cffffff00500|r</v>
      </c>
      <c r="F73" s="76" t="s">
        <v>186</v>
      </c>
      <c r="G73" s="68" t="s">
        <v>56</v>
      </c>
      <c r="H73" s="68" t="s">
        <v>56</v>
      </c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52"/>
    </row>
    <row r="74" spans="2:23">
      <c r="B74" s="65" t="s">
        <v>53</v>
      </c>
      <c r="C74" s="77" t="str">
        <f>MID(单位!C138,1,2)&amp;"境界"</f>
        <v>境界</v>
      </c>
      <c r="D74" s="78" t="str">
        <f t="shared" si="1"/>
        <v>境界</v>
      </c>
      <c r="E74" s="67" t="str">
        <f>"|cff00ccff效果：|n|r全属性+|cffffff00"&amp;辅助表格!A45&amp;"|n|r伤害加成+|cffffff001|r%|n伤害减免+|cffffff001|r%|n真实伤害+|cffffff00500|r"</f>
        <v>|cff00ccff效果：|n|r全属性+|cffffff00|n|r伤害加成+|cffffff001|r%|n伤害减免+|cffffff001|r%|n真实伤害+|cffffff00500|r</v>
      </c>
      <c r="F74" s="76" t="s">
        <v>187</v>
      </c>
      <c r="G74" s="68" t="s">
        <v>56</v>
      </c>
      <c r="H74" s="68" t="s">
        <v>56</v>
      </c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52"/>
    </row>
    <row r="75" spans="2:23">
      <c r="B75" s="65" t="s">
        <v>53</v>
      </c>
      <c r="C75" s="77" t="str">
        <f>MID(单位!C139,1,2)&amp;"境界"</f>
        <v>境界</v>
      </c>
      <c r="D75" s="78" t="str">
        <f t="shared" si="1"/>
        <v>境界</v>
      </c>
      <c r="E75" s="67" t="str">
        <f>"|cff00ccff效果：|n|r全属性+|cffffff00"&amp;辅助表格!A46&amp;"|n|r伤害加成+|cffffff001|r%|n伤害减免+|cffffff001|r%|n真实伤害+|cffffff00500|r"</f>
        <v>|cff00ccff效果：|n|r全属性+|cffffff00|n|r伤害加成+|cffffff001|r%|n伤害减免+|cffffff001|r%|n真实伤害+|cffffff00500|r</v>
      </c>
      <c r="F75" s="76" t="s">
        <v>188</v>
      </c>
      <c r="G75" s="68" t="s">
        <v>56</v>
      </c>
      <c r="H75" s="68" t="s">
        <v>56</v>
      </c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52"/>
    </row>
    <row r="76" spans="2:23">
      <c r="B76" s="65" t="s">
        <v>53</v>
      </c>
      <c r="C76" s="77" t="str">
        <f>MID(单位!C140,1,2)&amp;"境界"</f>
        <v>境界</v>
      </c>
      <c r="D76" s="78" t="str">
        <f t="shared" si="1"/>
        <v>境界</v>
      </c>
      <c r="E76" s="67" t="str">
        <f>"|cff00ccff效果：|n|r全属性+|cffffff00"&amp;辅助表格!A47&amp;"|n|r伤害加成+|cffffff001|r%|n伤害减免+|cffffff001|r%|n真实伤害+|cffffff00500|r"</f>
        <v>|cff00ccff效果：|n|r全属性+|cffffff00|n|r伤害加成+|cffffff001|r%|n伤害减免+|cffffff001|r%|n真实伤害+|cffffff00500|r</v>
      </c>
      <c r="F76" s="76" t="s">
        <v>189</v>
      </c>
      <c r="G76" s="68" t="s">
        <v>56</v>
      </c>
      <c r="H76" s="68" t="s">
        <v>56</v>
      </c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52"/>
    </row>
    <row r="77" spans="2:23">
      <c r="B77" s="65" t="s">
        <v>53</v>
      </c>
      <c r="C77" s="77" t="str">
        <f>MID(单位!C141,1,2)&amp;"境界"</f>
        <v>境界</v>
      </c>
      <c r="D77" s="78" t="str">
        <f t="shared" si="1"/>
        <v>境界</v>
      </c>
      <c r="E77" s="67" t="str">
        <f>"|cff00ccff效果：|n|r全属性+|cffffff00"&amp;辅助表格!A48&amp;"|n|r伤害加成+|cffffff001|r%|n伤害减免+|cffffff001|r%|n真实伤害+|cffffff00500|r"</f>
        <v>|cff00ccff效果：|n|r全属性+|cffffff00|n|r伤害加成+|cffffff001|r%|n伤害减免+|cffffff001|r%|n真实伤害+|cffffff00500|r</v>
      </c>
      <c r="F77" s="76" t="s">
        <v>190</v>
      </c>
      <c r="G77" s="68" t="s">
        <v>56</v>
      </c>
      <c r="H77" s="68" t="s">
        <v>56</v>
      </c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52"/>
    </row>
    <row r="78" spans="2:23">
      <c r="B78" s="65" t="s">
        <v>53</v>
      </c>
      <c r="C78" s="77" t="str">
        <f>MID(单位!C142,1,2)&amp;"境界"</f>
        <v>境界</v>
      </c>
      <c r="D78" s="78" t="str">
        <f t="shared" si="1"/>
        <v>境界</v>
      </c>
      <c r="E78" s="67" t="str">
        <f>"|cff00ccff效果：|n|r全属性+|cffffff00"&amp;辅助表格!A49&amp;"|n|r伤害加成+|cffffff001|r%|n伤害减免+|cffffff001|r%|n真实伤害+|cffffff00500|r"</f>
        <v>|cff00ccff效果：|n|r全属性+|cffffff00|n|r伤害加成+|cffffff001|r%|n伤害减免+|cffffff001|r%|n真实伤害+|cffffff00500|r</v>
      </c>
      <c r="F78" s="76" t="s">
        <v>191</v>
      </c>
      <c r="G78" s="68" t="s">
        <v>56</v>
      </c>
      <c r="H78" s="68" t="s">
        <v>56</v>
      </c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52"/>
    </row>
    <row r="79" spans="2:23">
      <c r="B79" s="65" t="s">
        <v>53</v>
      </c>
      <c r="C79" s="77" t="str">
        <f>MID(单位!C143,1,2)&amp;"境界"</f>
        <v>境界</v>
      </c>
      <c r="D79" s="78" t="str">
        <f t="shared" si="1"/>
        <v>境界</v>
      </c>
      <c r="E79" s="67" t="str">
        <f>"|cff00ccff效果：|n|r全属性+|cffffff00"&amp;辅助表格!A50&amp;"|n|r伤害加成+|cffffff001|r%|n伤害减免+|cffffff001|r%|n真实伤害+|cffffff00500|r"</f>
        <v>|cff00ccff效果：|n|r全属性+|cffffff00|n|r伤害加成+|cffffff001|r%|n伤害减免+|cffffff001|r%|n真实伤害+|cffffff00500|r</v>
      </c>
      <c r="F79" s="76" t="s">
        <v>192</v>
      </c>
      <c r="G79" s="68" t="s">
        <v>56</v>
      </c>
      <c r="H79" s="68" t="s">
        <v>56</v>
      </c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52"/>
    </row>
    <row r="80" spans="2:23">
      <c r="B80" s="65" t="s">
        <v>53</v>
      </c>
      <c r="C80" s="77" t="str">
        <f>MID(单位!C144,1,2)&amp;"境界"</f>
        <v>境界</v>
      </c>
      <c r="D80" s="78" t="str">
        <f t="shared" si="1"/>
        <v>境界</v>
      </c>
      <c r="E80" s="67" t="str">
        <f>"|cff00ccff效果：|n|r全属性+|cffffff00"&amp;辅助表格!A51&amp;"|n|r伤害加成+|cffffff001|r%|n伤害减免+|cffffff001|r%|n真实伤害+|cffffff00500|r"</f>
        <v>|cff00ccff效果：|n|r全属性+|cffffff00|n|r伤害加成+|cffffff001|r%|n伤害减免+|cffffff001|r%|n真实伤害+|cffffff00500|r</v>
      </c>
      <c r="F80" s="76" t="s">
        <v>193</v>
      </c>
      <c r="G80" s="68" t="s">
        <v>56</v>
      </c>
      <c r="H80" s="68" t="s">
        <v>56</v>
      </c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52"/>
    </row>
    <row r="81" spans="2:23">
      <c r="B81" s="65" t="s">
        <v>53</v>
      </c>
      <c r="C81" s="77" t="str">
        <f>MID(单位!C145,1,2)&amp;"境界"</f>
        <v>境界</v>
      </c>
      <c r="D81" s="78" t="str">
        <f t="shared" si="1"/>
        <v>境界</v>
      </c>
      <c r="E81" s="67" t="str">
        <f>"|cff00ccff效果：|n|r全属性+|cffffff00"&amp;辅助表格!A52&amp;"|n|r伤害加成+|cffffff001|r%|n伤害减免+|cffffff001|r%|n真实伤害+|cffffff00500|r"</f>
        <v>|cff00ccff效果：|n|r全属性+|cffffff00|n|r伤害加成+|cffffff001|r%|n伤害减免+|cffffff001|r%|n真实伤害+|cffffff00500|r</v>
      </c>
      <c r="F81" s="76" t="s">
        <v>194</v>
      </c>
      <c r="G81" s="68" t="s">
        <v>56</v>
      </c>
      <c r="H81" s="68" t="s">
        <v>56</v>
      </c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52"/>
    </row>
    <row r="82" spans="2:23">
      <c r="B82" s="65" t="s">
        <v>53</v>
      </c>
      <c r="C82" s="77" t="str">
        <f>MID(单位!C146,1,2)&amp;"境界"</f>
        <v>境界</v>
      </c>
      <c r="D82" s="78" t="str">
        <f t="shared" si="1"/>
        <v>境界</v>
      </c>
      <c r="E82" s="67" t="str">
        <f>"|cff00ccff效果：|n|r全属性+|cffffff00"&amp;辅助表格!A53&amp;"|n|r伤害加成+|cffffff001|r%|n伤害减免+|cffffff001|r%|n真实伤害+|cffffff00500|r"</f>
        <v>|cff00ccff效果：|n|r全属性+|cffffff00|n|r伤害加成+|cffffff001|r%|n伤害减免+|cffffff001|r%|n真实伤害+|cffffff00500|r</v>
      </c>
      <c r="F82" s="76" t="s">
        <v>195</v>
      </c>
      <c r="G82" s="68" t="s">
        <v>56</v>
      </c>
      <c r="H82" s="68" t="s">
        <v>56</v>
      </c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52"/>
    </row>
    <row r="83" spans="2:23">
      <c r="B83" s="65" t="s">
        <v>53</v>
      </c>
      <c r="C83" s="77" t="str">
        <f>MID(单位!C147,1,2)&amp;"境界"</f>
        <v>境界</v>
      </c>
      <c r="D83" s="78" t="str">
        <f t="shared" si="1"/>
        <v>境界</v>
      </c>
      <c r="E83" s="67" t="str">
        <f>"|cff00ccff效果：|n|r全属性+|cffffff00"&amp;辅助表格!A54&amp;"|n|r伤害加成+|cffffff001|r%|n伤害减免+|cffffff001|r%|n真实伤害+|cffffff00500|r"</f>
        <v>|cff00ccff效果：|n|r全属性+|cffffff00|n|r伤害加成+|cffffff001|r%|n伤害减免+|cffffff001|r%|n真实伤害+|cffffff00500|r</v>
      </c>
      <c r="F83" s="76" t="s">
        <v>196</v>
      </c>
      <c r="G83" s="68" t="s">
        <v>56</v>
      </c>
      <c r="H83" s="68" t="s">
        <v>56</v>
      </c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52"/>
    </row>
    <row r="84" spans="2:23">
      <c r="B84" s="65"/>
      <c r="C84" s="77"/>
      <c r="D84" s="78"/>
      <c r="E84" s="79"/>
      <c r="F84" s="80"/>
      <c r="G84" s="68" t="s">
        <v>56</v>
      </c>
      <c r="H84" s="68" t="s">
        <v>56</v>
      </c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52"/>
    </row>
    <row r="85" spans="2:23">
      <c r="B85" s="65"/>
      <c r="C85" s="77"/>
      <c r="D85" s="78"/>
      <c r="E85" s="79"/>
      <c r="F85" s="80"/>
      <c r="G85" s="68" t="s">
        <v>56</v>
      </c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52"/>
    </row>
    <row r="86" spans="2:23">
      <c r="B86" s="65"/>
      <c r="C86" s="77"/>
      <c r="D86" s="78"/>
      <c r="E86" s="79"/>
      <c r="F86" s="80"/>
      <c r="G86" s="68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52"/>
    </row>
    <row r="87" spans="2:23">
      <c r="B87" s="65"/>
      <c r="C87" s="77"/>
      <c r="D87" s="78"/>
      <c r="E87" s="79"/>
      <c r="F87" s="80"/>
      <c r="G87" s="68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52"/>
    </row>
    <row r="88" spans="2:23">
      <c r="B88" s="65"/>
      <c r="C88" s="77"/>
      <c r="D88" s="78"/>
      <c r="E88" s="79"/>
      <c r="F88" s="80"/>
      <c r="G88" s="68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52"/>
    </row>
    <row r="89" spans="2:23">
      <c r="B89" s="65"/>
      <c r="C89" s="77"/>
      <c r="D89" s="78"/>
      <c r="E89" s="79"/>
      <c r="F89" s="80"/>
      <c r="G89" s="68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52"/>
    </row>
    <row r="90" spans="2:23">
      <c r="B90" s="65"/>
      <c r="C90" s="77"/>
      <c r="D90" s="78"/>
      <c r="E90" s="79"/>
      <c r="F90" s="80"/>
      <c r="G90" s="68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52"/>
    </row>
    <row r="91" spans="2:23">
      <c r="B91" s="65"/>
      <c r="C91" s="77"/>
      <c r="D91" s="78"/>
      <c r="E91" s="79"/>
      <c r="F91" s="80"/>
      <c r="G91" s="68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52"/>
    </row>
    <row r="92" spans="2:23">
      <c r="B92" s="65"/>
      <c r="C92" s="77"/>
      <c r="D92" s="78"/>
      <c r="E92" s="79"/>
      <c r="F92" s="80"/>
      <c r="G92" s="68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52"/>
    </row>
    <row r="93" spans="2:23">
      <c r="B93" s="65"/>
      <c r="C93" s="77"/>
      <c r="D93" s="78"/>
      <c r="E93" s="79"/>
      <c r="F93" s="80"/>
      <c r="G93" s="68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52"/>
    </row>
    <row r="94" spans="2:23">
      <c r="B94" s="65"/>
      <c r="C94" s="77"/>
      <c r="D94" s="78"/>
      <c r="E94" s="79"/>
      <c r="F94" s="80"/>
      <c r="G94" s="68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52"/>
    </row>
    <row r="95" spans="2:23">
      <c r="B95" s="65"/>
      <c r="C95" s="77"/>
      <c r="D95" s="78"/>
      <c r="E95" s="79"/>
      <c r="F95" s="80"/>
      <c r="G95" s="68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52"/>
    </row>
    <row r="96" spans="2:23">
      <c r="B96" s="65"/>
      <c r="C96" s="77"/>
      <c r="D96" s="78"/>
      <c r="E96" s="79"/>
      <c r="F96" s="80"/>
      <c r="G96" s="68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52"/>
    </row>
    <row r="97" spans="2:23">
      <c r="B97" s="65"/>
      <c r="C97" s="77"/>
      <c r="D97" s="78"/>
      <c r="E97" s="79"/>
      <c r="F97" s="80"/>
      <c r="G97" s="68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52"/>
    </row>
    <row r="98" spans="2:23">
      <c r="B98" s="65"/>
      <c r="C98" s="77"/>
      <c r="D98" s="78"/>
      <c r="E98" s="79"/>
      <c r="F98" s="80"/>
      <c r="G98" s="68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52"/>
    </row>
    <row r="99" spans="2:23">
      <c r="B99" s="65"/>
      <c r="C99" s="77"/>
      <c r="D99" s="78"/>
      <c r="E99" s="79"/>
      <c r="F99" s="80"/>
      <c r="G99" s="68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52"/>
    </row>
    <row r="100" spans="2:23">
      <c r="B100" s="81"/>
      <c r="C100" s="77"/>
      <c r="D100" s="78"/>
      <c r="E100" s="79"/>
      <c r="F100" s="80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52"/>
    </row>
    <row r="101" spans="2:23">
      <c r="B101" s="81"/>
      <c r="C101" s="77"/>
      <c r="D101" s="78"/>
      <c r="E101" s="79"/>
      <c r="F101" s="80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52"/>
    </row>
    <row r="102" spans="2:23">
      <c r="B102" s="81"/>
      <c r="C102" s="77"/>
      <c r="D102" s="78"/>
      <c r="E102" s="79"/>
      <c r="F102" s="80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52"/>
    </row>
    <row r="103" spans="2:23">
      <c r="B103" s="81"/>
      <c r="C103" s="77"/>
      <c r="D103" s="78"/>
      <c r="E103" s="79"/>
      <c r="F103" s="80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52"/>
    </row>
    <row r="104" spans="2:23">
      <c r="B104" s="81"/>
      <c r="C104" s="82"/>
      <c r="D104" s="78"/>
      <c r="E104" s="79"/>
      <c r="F104" s="80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52"/>
    </row>
    <row r="105" spans="2:23">
      <c r="B105" s="81"/>
      <c r="C105" s="82"/>
      <c r="D105" s="78"/>
      <c r="E105" s="79"/>
      <c r="F105" s="80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52"/>
    </row>
    <row r="106" spans="2:23">
      <c r="B106" s="81"/>
      <c r="C106" s="82"/>
      <c r="D106" s="78"/>
      <c r="E106" s="79"/>
      <c r="F106" s="80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52"/>
    </row>
    <row r="107" spans="2:23">
      <c r="B107" s="81"/>
      <c r="C107" s="82"/>
      <c r="D107" s="78"/>
      <c r="E107" s="79"/>
      <c r="F107" s="80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52"/>
    </row>
    <row r="108" spans="2:23">
      <c r="B108" s="81"/>
      <c r="C108" s="82"/>
      <c r="D108" s="78"/>
      <c r="E108" s="79"/>
      <c r="F108" s="80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52"/>
    </row>
    <row r="109" spans="2:23">
      <c r="B109" s="81"/>
      <c r="C109" s="82"/>
      <c r="D109" s="78"/>
      <c r="E109" s="79"/>
      <c r="F109" s="80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52"/>
    </row>
    <row r="110" spans="2:23">
      <c r="B110" s="81"/>
      <c r="C110" s="82"/>
      <c r="D110" s="78"/>
      <c r="E110" s="79"/>
      <c r="F110" s="80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52"/>
    </row>
    <row r="111" spans="2:23">
      <c r="B111" s="81"/>
      <c r="C111" s="82"/>
      <c r="D111" s="78"/>
      <c r="E111" s="79"/>
      <c r="F111" s="80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52"/>
    </row>
    <row r="112" spans="2:23">
      <c r="B112" s="81"/>
      <c r="C112" s="82"/>
      <c r="D112" s="78"/>
      <c r="E112" s="79"/>
      <c r="F112" s="80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52"/>
    </row>
    <row r="113" spans="2:23">
      <c r="B113" s="81"/>
      <c r="C113" s="82"/>
      <c r="D113" s="78"/>
      <c r="E113" s="79"/>
      <c r="F113" s="80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52"/>
    </row>
    <row r="114" spans="2:23">
      <c r="B114" s="81"/>
      <c r="C114" s="82"/>
      <c r="D114" s="78"/>
      <c r="E114" s="79"/>
      <c r="F114" s="80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52"/>
    </row>
    <row r="115" ht="20.4" spans="2:23">
      <c r="B115" s="81"/>
      <c r="C115" s="83"/>
      <c r="D115" s="83"/>
      <c r="E115" s="83"/>
      <c r="F115" s="83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52"/>
    </row>
    <row r="116" ht="20.4" spans="2:23">
      <c r="B116" s="81"/>
      <c r="C116" s="83"/>
      <c r="D116" s="83"/>
      <c r="E116" s="83"/>
      <c r="F116" s="83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52"/>
    </row>
    <row r="117" ht="20.4" spans="2:23">
      <c r="B117" s="81"/>
      <c r="C117" s="83"/>
      <c r="D117" s="83"/>
      <c r="E117" s="83"/>
      <c r="F117" s="83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52"/>
    </row>
    <row r="118" ht="20.4" spans="2:23">
      <c r="B118" s="81"/>
      <c r="C118" s="83"/>
      <c r="D118" s="83"/>
      <c r="E118" s="83"/>
      <c r="F118" s="83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52"/>
    </row>
    <row r="119" ht="20.4" spans="2:23">
      <c r="B119" s="81"/>
      <c r="C119" s="83"/>
      <c r="D119" s="83"/>
      <c r="E119" s="83"/>
      <c r="F119" s="83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52"/>
    </row>
    <row r="120" ht="20.4" spans="2:23">
      <c r="B120" s="81"/>
      <c r="C120" s="83"/>
      <c r="D120" s="83"/>
      <c r="E120" s="83"/>
      <c r="F120" s="83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52"/>
    </row>
    <row r="121" ht="20.4" spans="2:23">
      <c r="B121" s="81"/>
      <c r="C121" s="83"/>
      <c r="D121" s="83"/>
      <c r="E121" s="83"/>
      <c r="F121" s="83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52"/>
    </row>
    <row r="122" ht="20.4" spans="2:23">
      <c r="B122" s="81"/>
      <c r="C122" s="83"/>
      <c r="D122" s="83"/>
      <c r="E122" s="83"/>
      <c r="F122" s="83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52"/>
    </row>
    <row r="123" ht="20.4" spans="2:23">
      <c r="B123" s="81"/>
      <c r="C123" s="83"/>
      <c r="D123" s="83"/>
      <c r="E123" s="83"/>
      <c r="F123" s="83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52"/>
    </row>
    <row r="124" ht="20.4" spans="2:23">
      <c r="B124" s="81"/>
      <c r="C124" s="83"/>
      <c r="D124" s="83"/>
      <c r="E124" s="83"/>
      <c r="F124" s="83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52"/>
    </row>
    <row r="125" ht="20.4" spans="2:23">
      <c r="B125" s="81"/>
      <c r="C125" s="83"/>
      <c r="D125" s="84"/>
      <c r="E125" s="84"/>
      <c r="F125" s="83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52"/>
    </row>
    <row r="126" ht="20.4" spans="2:23">
      <c r="B126" s="81"/>
      <c r="C126" s="83"/>
      <c r="D126" s="84"/>
      <c r="E126" s="84"/>
      <c r="F126" s="83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52"/>
    </row>
    <row r="127" ht="20.4" spans="2:23">
      <c r="B127" s="81"/>
      <c r="C127" s="83"/>
      <c r="D127" s="84"/>
      <c r="E127" s="84"/>
      <c r="F127" s="83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52"/>
    </row>
    <row r="128" ht="20.4" spans="2:23">
      <c r="B128" s="81"/>
      <c r="C128" s="83"/>
      <c r="D128" s="84"/>
      <c r="E128" s="84"/>
      <c r="F128" s="83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52"/>
    </row>
    <row r="129" ht="20.4" spans="2:23">
      <c r="B129" s="81"/>
      <c r="C129" s="83"/>
      <c r="D129" s="84"/>
      <c r="E129" s="84"/>
      <c r="F129" s="83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52"/>
    </row>
    <row r="130" ht="20.4" spans="2:23">
      <c r="B130" s="81"/>
      <c r="C130" s="83"/>
      <c r="D130" s="85"/>
      <c r="E130" s="85"/>
      <c r="F130" s="83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52"/>
    </row>
    <row r="131" ht="20.4" spans="2:23">
      <c r="B131" s="81"/>
      <c r="C131" s="83"/>
      <c r="D131" s="85"/>
      <c r="E131" s="85"/>
      <c r="F131" s="83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52"/>
    </row>
    <row r="132" ht="20.4" spans="2:23">
      <c r="B132" s="81"/>
      <c r="C132" s="83"/>
      <c r="D132" s="85"/>
      <c r="E132" s="85"/>
      <c r="F132" s="83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52"/>
    </row>
    <row r="133" ht="20.4" spans="2:23">
      <c r="B133" s="81"/>
      <c r="C133" s="83"/>
      <c r="D133" s="85"/>
      <c r="E133" s="85"/>
      <c r="F133" s="83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52"/>
    </row>
    <row r="134" ht="20.4" spans="2:23">
      <c r="B134" s="81"/>
      <c r="C134" s="83"/>
      <c r="D134" s="85"/>
      <c r="E134" s="85"/>
      <c r="F134" s="83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52"/>
    </row>
    <row r="135" ht="20.4" spans="2:23">
      <c r="B135" s="81"/>
      <c r="C135" s="83"/>
      <c r="D135" s="85"/>
      <c r="E135" s="85"/>
      <c r="F135" s="83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52"/>
    </row>
    <row r="136" ht="20.4" spans="2:23">
      <c r="B136" s="81"/>
      <c r="C136" s="83"/>
      <c r="D136" s="85"/>
      <c r="E136" s="85"/>
      <c r="F136" s="83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52"/>
    </row>
    <row r="137" ht="20.4" spans="2:23">
      <c r="B137" s="81"/>
      <c r="C137" s="83"/>
      <c r="D137" s="85"/>
      <c r="E137" s="85"/>
      <c r="F137" s="83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52"/>
    </row>
    <row r="138" ht="20.4" spans="2:23">
      <c r="B138" s="81"/>
      <c r="C138" s="83"/>
      <c r="D138" s="85"/>
      <c r="E138" s="85"/>
      <c r="F138" s="83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52"/>
    </row>
    <row r="139" ht="20.4" spans="2:23">
      <c r="B139" s="81"/>
      <c r="C139" s="83"/>
      <c r="D139" s="85"/>
      <c r="E139" s="85"/>
      <c r="F139" s="83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52"/>
    </row>
    <row r="140" ht="20.4" spans="2:23">
      <c r="B140" s="81"/>
      <c r="C140" s="83"/>
      <c r="D140" s="85"/>
      <c r="E140" s="85"/>
      <c r="F140" s="83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52"/>
    </row>
    <row r="141" ht="20.4" spans="2:23">
      <c r="B141" s="81"/>
      <c r="C141" s="83"/>
      <c r="D141" s="85"/>
      <c r="E141" s="85"/>
      <c r="F141" s="83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52"/>
    </row>
    <row r="142" ht="20.4" spans="2:23">
      <c r="B142" s="81"/>
      <c r="C142" s="83"/>
      <c r="D142" s="85"/>
      <c r="E142" s="85"/>
      <c r="F142" s="83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52"/>
    </row>
    <row r="143" ht="20.4" spans="2:23">
      <c r="B143" s="81"/>
      <c r="C143" s="83"/>
      <c r="D143" s="85"/>
      <c r="E143" s="85"/>
      <c r="F143" s="83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52"/>
    </row>
    <row r="144" ht="20.4" spans="2:23">
      <c r="B144" s="81"/>
      <c r="C144" s="83"/>
      <c r="D144" s="85"/>
      <c r="E144" s="85"/>
      <c r="F144" s="83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52"/>
    </row>
    <row r="145" ht="20.4" spans="2:23">
      <c r="B145" s="81"/>
      <c r="C145" s="83"/>
      <c r="D145" s="85"/>
      <c r="E145" s="85"/>
      <c r="F145" s="83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52"/>
    </row>
    <row r="146" ht="20.4" spans="2:23">
      <c r="B146" s="81"/>
      <c r="C146" s="83"/>
      <c r="D146" s="85"/>
      <c r="E146" s="85"/>
      <c r="F146" s="83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52"/>
    </row>
    <row r="147" ht="20.4" spans="2:23">
      <c r="B147" s="81"/>
      <c r="C147" s="48"/>
      <c r="D147" s="48"/>
      <c r="E147" s="48"/>
      <c r="F147" s="83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52"/>
    </row>
    <row r="148" spans="2:23">
      <c r="B148" s="81"/>
      <c r="C148" s="62"/>
      <c r="D148" s="62"/>
      <c r="E148" s="62"/>
      <c r="F148" s="62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52"/>
    </row>
    <row r="149" spans="2:23">
      <c r="B149" s="81"/>
      <c r="C149" s="62"/>
      <c r="D149" s="62"/>
      <c r="E149" s="62"/>
      <c r="F149" s="62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52"/>
    </row>
    <row r="150" spans="2:23">
      <c r="B150" s="81"/>
      <c r="C150" s="62"/>
      <c r="D150" s="62"/>
      <c r="E150" s="62"/>
      <c r="F150" s="62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52"/>
    </row>
    <row r="151" spans="2:23">
      <c r="B151" s="81"/>
      <c r="C151" s="62"/>
      <c r="D151" s="62"/>
      <c r="E151" s="62"/>
      <c r="F151" s="62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52"/>
    </row>
    <row r="152" spans="2:23">
      <c r="B152" s="81"/>
      <c r="C152" s="62"/>
      <c r="D152" s="62"/>
      <c r="E152" s="62"/>
      <c r="F152" s="62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52"/>
    </row>
    <row r="153" spans="2:23">
      <c r="B153" s="81"/>
      <c r="C153" s="62"/>
      <c r="D153" s="62"/>
      <c r="E153" s="62"/>
      <c r="F153" s="62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52"/>
    </row>
    <row r="154" spans="2:23">
      <c r="B154" s="81"/>
      <c r="C154" s="48"/>
      <c r="D154" s="62"/>
      <c r="E154" s="62"/>
      <c r="F154" s="62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52"/>
    </row>
    <row r="155" spans="2:23">
      <c r="B155" s="81"/>
      <c r="C155" s="48"/>
      <c r="D155" s="62"/>
      <c r="E155" s="62"/>
      <c r="F155" s="62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52"/>
    </row>
    <row r="156" spans="2:23">
      <c r="B156" s="81"/>
      <c r="C156" s="48"/>
      <c r="D156" s="62"/>
      <c r="E156" s="62"/>
      <c r="F156" s="62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52"/>
    </row>
    <row r="157" spans="2:23">
      <c r="B157" s="81"/>
      <c r="C157" s="48"/>
      <c r="D157" s="62"/>
      <c r="E157" s="62"/>
      <c r="F157" s="62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52"/>
    </row>
    <row r="158" spans="2:23">
      <c r="B158" s="81"/>
      <c r="C158" s="48"/>
      <c r="D158" s="62"/>
      <c r="E158" s="62"/>
      <c r="F158" s="62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52"/>
    </row>
    <row r="159" spans="2:23">
      <c r="B159" s="81"/>
      <c r="C159" s="48"/>
      <c r="D159" s="62"/>
      <c r="E159" s="62"/>
      <c r="F159" s="62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52"/>
    </row>
    <row r="160" spans="2:23">
      <c r="B160" s="81"/>
      <c r="C160" s="48"/>
      <c r="D160" s="62"/>
      <c r="E160" s="62"/>
      <c r="F160" s="62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52"/>
    </row>
    <row r="161" spans="2:23">
      <c r="B161" s="81"/>
      <c r="C161" s="48"/>
      <c r="D161" s="62"/>
      <c r="E161" s="62"/>
      <c r="F161" s="62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52"/>
    </row>
    <row r="162" spans="2:23">
      <c r="B162" s="81"/>
      <c r="C162" s="48"/>
      <c r="D162" s="62"/>
      <c r="E162" s="62"/>
      <c r="F162" s="62"/>
      <c r="G162" s="49"/>
      <c r="H162" s="86"/>
      <c r="I162" s="86"/>
      <c r="J162" s="86"/>
      <c r="K162" s="86"/>
      <c r="L162" s="86"/>
      <c r="M162" s="86"/>
      <c r="N162" s="49"/>
      <c r="O162" s="49"/>
      <c r="P162" s="49"/>
      <c r="Q162" s="49"/>
      <c r="R162" s="49"/>
      <c r="S162" s="49"/>
      <c r="T162" s="49"/>
      <c r="U162" s="49"/>
      <c r="V162" s="49"/>
      <c r="W162" s="52"/>
    </row>
  </sheetData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0</xdr:col>
                    <xdr:colOff>28575</xdr:colOff>
                    <xdr:row>13</xdr:row>
                    <xdr:rowOff>66675</xdr:rowOff>
                  </from>
                  <to>
                    <xdr:col>0</xdr:col>
                    <xdr:colOff>1362075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150"/>
  <sheetViews>
    <sheetView workbookViewId="0">
      <selection activeCell="C95" sqref="C95"/>
    </sheetView>
  </sheetViews>
  <sheetFormatPr defaultColWidth="9" defaultRowHeight="13.8"/>
  <cols>
    <col min="1" max="1" width="18.25" style="37" customWidth="1"/>
    <col min="2" max="2" width="9" style="37"/>
    <col min="3" max="3" width="20.6296296296296" style="37" customWidth="1"/>
    <col min="4" max="4" width="9.75" style="37" customWidth="1"/>
    <col min="5" max="6" width="9" style="37"/>
    <col min="7" max="7" width="7.12962962962963" style="37" customWidth="1"/>
    <col min="8" max="8" width="9" style="37"/>
    <col min="9" max="9" width="9.62962962962963" style="37" customWidth="1"/>
    <col min="10" max="10" width="11.75" style="37" customWidth="1"/>
    <col min="11" max="11" width="8.25" style="37" customWidth="1"/>
    <col min="12" max="12" width="8.62962962962963" style="37" customWidth="1"/>
    <col min="13" max="16384" width="9" style="37"/>
  </cols>
  <sheetData>
    <row r="1" ht="14.55" spans="1:13">
      <c r="A1" s="38" t="s">
        <v>197</v>
      </c>
      <c r="B1" s="39" t="s">
        <v>1</v>
      </c>
      <c r="C1" s="39" t="s">
        <v>2</v>
      </c>
      <c r="D1" s="40" t="s">
        <v>198</v>
      </c>
      <c r="E1" s="40" t="s">
        <v>43</v>
      </c>
      <c r="F1" s="40" t="s">
        <v>199</v>
      </c>
      <c r="G1" s="40" t="s">
        <v>200</v>
      </c>
      <c r="H1" s="40" t="s">
        <v>201</v>
      </c>
      <c r="I1" s="40" t="s">
        <v>202</v>
      </c>
      <c r="J1" s="40" t="s">
        <v>203</v>
      </c>
      <c r="K1" s="40" t="s">
        <v>204</v>
      </c>
      <c r="L1" s="47" t="s">
        <v>205</v>
      </c>
      <c r="M1" s="47" t="s">
        <v>206</v>
      </c>
    </row>
    <row r="2" ht="14.55" spans="1:13">
      <c r="A2" s="41"/>
      <c r="B2" s="42" t="s">
        <v>207</v>
      </c>
      <c r="C2" s="39" t="s">
        <v>19</v>
      </c>
      <c r="D2" s="40" t="s">
        <v>208</v>
      </c>
      <c r="E2" s="40" t="s">
        <v>49</v>
      </c>
      <c r="F2" s="40" t="s">
        <v>50</v>
      </c>
      <c r="G2" s="40" t="s">
        <v>209</v>
      </c>
      <c r="H2" s="40" t="s">
        <v>210</v>
      </c>
      <c r="I2" s="40" t="s">
        <v>211</v>
      </c>
      <c r="J2" s="40" t="s">
        <v>212</v>
      </c>
      <c r="K2" s="40" t="s">
        <v>213</v>
      </c>
      <c r="L2" s="47" t="s">
        <v>214</v>
      </c>
      <c r="M2" s="47" t="s">
        <v>215</v>
      </c>
    </row>
    <row r="3" spans="1:19">
      <c r="A3" s="43"/>
      <c r="B3" s="44" t="s">
        <v>216</v>
      </c>
      <c r="C3" s="45" t="str">
        <f>"击杀"&amp;单位!C20</f>
        <v>击杀第18波近战</v>
      </c>
      <c r="D3" s="46" t="s">
        <v>36</v>
      </c>
      <c r="E3" s="46" t="s">
        <v>36</v>
      </c>
      <c r="F3" s="46" t="s">
        <v>36</v>
      </c>
      <c r="G3" s="46">
        <v>0</v>
      </c>
      <c r="H3" s="46">
        <v>0</v>
      </c>
      <c r="I3" s="46">
        <v>0</v>
      </c>
      <c r="J3" s="46">
        <v>0</v>
      </c>
      <c r="K3" s="46">
        <v>0</v>
      </c>
      <c r="L3" s="46">
        <v>0</v>
      </c>
      <c r="M3" s="46">
        <v>1</v>
      </c>
      <c r="N3" s="48"/>
      <c r="O3" s="49"/>
      <c r="P3" s="49"/>
      <c r="Q3" s="49"/>
      <c r="R3" s="49"/>
      <c r="S3" s="52"/>
    </row>
    <row r="4" spans="1:19">
      <c r="A4" s="43"/>
      <c r="B4" s="44" t="s">
        <v>216</v>
      </c>
      <c r="C4" s="45" t="str">
        <f>"击杀"&amp;单位!C21</f>
        <v>击杀第19波近战</v>
      </c>
      <c r="D4" s="46" t="s">
        <v>36</v>
      </c>
      <c r="E4" s="46" t="s">
        <v>36</v>
      </c>
      <c r="F4" s="46" t="s">
        <v>36</v>
      </c>
      <c r="G4" s="46">
        <v>0</v>
      </c>
      <c r="H4" s="46">
        <v>0</v>
      </c>
      <c r="I4" s="46">
        <v>0</v>
      </c>
      <c r="J4" s="46">
        <v>0</v>
      </c>
      <c r="K4" s="46">
        <v>0</v>
      </c>
      <c r="L4" s="46">
        <v>0</v>
      </c>
      <c r="M4" s="46">
        <v>1</v>
      </c>
      <c r="N4" s="48"/>
      <c r="O4" s="49"/>
      <c r="P4" s="49"/>
      <c r="Q4" s="49"/>
      <c r="R4" s="49"/>
      <c r="S4" s="52"/>
    </row>
    <row r="5" spans="2:19">
      <c r="B5" s="44" t="s">
        <v>216</v>
      </c>
      <c r="C5" s="45" t="str">
        <f>"击杀"&amp;单位!C22</f>
        <v>击杀第20波近战</v>
      </c>
      <c r="D5" s="46" t="s">
        <v>36</v>
      </c>
      <c r="E5" s="46" t="s">
        <v>36</v>
      </c>
      <c r="F5" s="46" t="s">
        <v>36</v>
      </c>
      <c r="G5" s="46">
        <v>0</v>
      </c>
      <c r="H5" s="46">
        <v>0</v>
      </c>
      <c r="I5" s="46">
        <v>0</v>
      </c>
      <c r="J5" s="46">
        <v>0</v>
      </c>
      <c r="K5" s="46">
        <v>0</v>
      </c>
      <c r="L5" s="46">
        <v>0</v>
      </c>
      <c r="M5" s="46">
        <v>1</v>
      </c>
      <c r="N5" s="48"/>
      <c r="O5" s="49"/>
      <c r="P5" s="49"/>
      <c r="Q5" s="49"/>
      <c r="R5" s="49"/>
      <c r="S5" s="52"/>
    </row>
    <row r="6" spans="2:19">
      <c r="B6" s="44" t="s">
        <v>216</v>
      </c>
      <c r="C6" s="45" t="str">
        <f>"击杀"&amp;单位!C23</f>
        <v>击杀第21波近战</v>
      </c>
      <c r="D6" s="46" t="s">
        <v>36</v>
      </c>
      <c r="E6" s="46" t="s">
        <v>36</v>
      </c>
      <c r="F6" s="46" t="s">
        <v>36</v>
      </c>
      <c r="G6" s="46">
        <v>0</v>
      </c>
      <c r="H6" s="46">
        <v>0</v>
      </c>
      <c r="I6" s="46">
        <v>0</v>
      </c>
      <c r="J6" s="46">
        <v>0</v>
      </c>
      <c r="K6" s="46">
        <v>0</v>
      </c>
      <c r="L6" s="46">
        <v>0</v>
      </c>
      <c r="M6" s="46">
        <v>1</v>
      </c>
      <c r="N6" s="48"/>
      <c r="O6" s="49"/>
      <c r="P6" s="49"/>
      <c r="Q6" s="49"/>
      <c r="R6" s="49"/>
      <c r="S6" s="52"/>
    </row>
    <row r="7" spans="2:19">
      <c r="B7" s="44" t="s">
        <v>216</v>
      </c>
      <c r="C7" s="45" t="str">
        <f>"击杀"&amp;单位!C24</f>
        <v>击杀第22波近战</v>
      </c>
      <c r="D7" s="46" t="s">
        <v>36</v>
      </c>
      <c r="E7" s="46" t="s">
        <v>36</v>
      </c>
      <c r="F7" s="46" t="s">
        <v>36</v>
      </c>
      <c r="G7" s="46">
        <v>0</v>
      </c>
      <c r="H7" s="46">
        <v>0</v>
      </c>
      <c r="I7" s="46">
        <v>0</v>
      </c>
      <c r="J7" s="46">
        <v>0</v>
      </c>
      <c r="K7" s="46">
        <v>0</v>
      </c>
      <c r="L7" s="46">
        <v>0</v>
      </c>
      <c r="M7" s="46">
        <v>1</v>
      </c>
      <c r="N7" s="48"/>
      <c r="O7" s="49"/>
      <c r="P7" s="49"/>
      <c r="Q7" s="49"/>
      <c r="R7" s="49"/>
      <c r="S7" s="52"/>
    </row>
    <row r="8" spans="2:19">
      <c r="B8" s="44" t="s">
        <v>216</v>
      </c>
      <c r="C8" s="45" t="str">
        <f>"击杀"&amp;单位!C25</f>
        <v>击杀第23波近战</v>
      </c>
      <c r="D8" s="46" t="s">
        <v>36</v>
      </c>
      <c r="E8" s="46" t="s">
        <v>36</v>
      </c>
      <c r="F8" s="46" t="s">
        <v>36</v>
      </c>
      <c r="G8" s="46">
        <v>0</v>
      </c>
      <c r="H8" s="46">
        <v>0</v>
      </c>
      <c r="I8" s="46">
        <v>0</v>
      </c>
      <c r="J8" s="46">
        <v>0</v>
      </c>
      <c r="K8" s="46">
        <v>0</v>
      </c>
      <c r="L8" s="46">
        <v>0</v>
      </c>
      <c r="M8" s="46">
        <v>1</v>
      </c>
      <c r="N8" s="48"/>
      <c r="O8" s="49"/>
      <c r="P8" s="49"/>
      <c r="Q8" s="49"/>
      <c r="R8" s="49"/>
      <c r="S8" s="52"/>
    </row>
    <row r="9" spans="2:19">
      <c r="B9" s="44" t="s">
        <v>216</v>
      </c>
      <c r="C9" s="45" t="str">
        <f>"击杀"&amp;单位!C26</f>
        <v>击杀第24波近战</v>
      </c>
      <c r="D9" s="46" t="s">
        <v>36</v>
      </c>
      <c r="E9" s="46" t="s">
        <v>36</v>
      </c>
      <c r="F9" s="46" t="s">
        <v>36</v>
      </c>
      <c r="G9" s="46">
        <v>0</v>
      </c>
      <c r="H9" s="46">
        <v>0</v>
      </c>
      <c r="I9" s="46">
        <v>0</v>
      </c>
      <c r="J9" s="46">
        <v>0</v>
      </c>
      <c r="K9" s="46">
        <v>0</v>
      </c>
      <c r="L9" s="46">
        <v>0</v>
      </c>
      <c r="M9" s="46">
        <v>1</v>
      </c>
      <c r="N9" s="48"/>
      <c r="O9" s="49"/>
      <c r="P9" s="49"/>
      <c r="Q9" s="49"/>
      <c r="R9" s="49"/>
      <c r="S9" s="52"/>
    </row>
    <row r="10" spans="2:19">
      <c r="B10" s="44" t="s">
        <v>216</v>
      </c>
      <c r="C10" s="45" t="str">
        <f>"击杀"&amp;单位!C27</f>
        <v>击杀第25波近战</v>
      </c>
      <c r="D10" s="46" t="s">
        <v>36</v>
      </c>
      <c r="E10" s="46" t="s">
        <v>36</v>
      </c>
      <c r="F10" s="46" t="s">
        <v>36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1</v>
      </c>
      <c r="N10" s="48"/>
      <c r="O10" s="49"/>
      <c r="P10" s="49"/>
      <c r="Q10" s="49"/>
      <c r="R10" s="49"/>
      <c r="S10" s="52"/>
    </row>
    <row r="11" spans="2:19">
      <c r="B11" s="44" t="s">
        <v>216</v>
      </c>
      <c r="C11" s="45" t="str">
        <f>"击杀"&amp;单位!C28</f>
        <v>击杀第1波远程</v>
      </c>
      <c r="D11" s="46" t="s">
        <v>36</v>
      </c>
      <c r="E11" s="46" t="s">
        <v>36</v>
      </c>
      <c r="F11" s="46" t="s">
        <v>36</v>
      </c>
      <c r="G11" s="46">
        <v>0</v>
      </c>
      <c r="H11" s="46">
        <v>0</v>
      </c>
      <c r="I11" s="46">
        <v>0</v>
      </c>
      <c r="J11" s="46">
        <v>0</v>
      </c>
      <c r="K11" s="46">
        <v>0</v>
      </c>
      <c r="L11" s="46">
        <v>0</v>
      </c>
      <c r="M11" s="46">
        <v>1</v>
      </c>
      <c r="N11" s="48"/>
      <c r="O11" s="49"/>
      <c r="P11" s="49"/>
      <c r="Q11" s="49"/>
      <c r="R11" s="49"/>
      <c r="S11" s="52"/>
    </row>
    <row r="12" spans="2:19">
      <c r="B12" s="44" t="s">
        <v>216</v>
      </c>
      <c r="C12" s="45" t="str">
        <f>"击杀"&amp;单位!C29</f>
        <v>击杀第2波远程</v>
      </c>
      <c r="D12" s="46" t="s">
        <v>36</v>
      </c>
      <c r="E12" s="46" t="s">
        <v>36</v>
      </c>
      <c r="F12" s="46" t="s">
        <v>36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  <c r="M12" s="46">
        <v>1</v>
      </c>
      <c r="N12" s="48"/>
      <c r="O12" s="49"/>
      <c r="P12" s="49"/>
      <c r="Q12" s="49"/>
      <c r="R12" s="49"/>
      <c r="S12" s="52"/>
    </row>
    <row r="13" spans="2:19">
      <c r="B13" s="44" t="s">
        <v>216</v>
      </c>
      <c r="C13" s="45" t="str">
        <f>"击杀"&amp;单位!C30</f>
        <v>击杀第3波远程</v>
      </c>
      <c r="D13" s="46" t="s">
        <v>36</v>
      </c>
      <c r="E13" s="46" t="s">
        <v>36</v>
      </c>
      <c r="F13" s="46" t="s">
        <v>36</v>
      </c>
      <c r="G13" s="46">
        <v>0</v>
      </c>
      <c r="H13" s="46">
        <v>0</v>
      </c>
      <c r="I13" s="46">
        <v>0</v>
      </c>
      <c r="J13" s="46">
        <v>0</v>
      </c>
      <c r="K13" s="46">
        <v>0</v>
      </c>
      <c r="L13" s="46">
        <v>0</v>
      </c>
      <c r="M13" s="46">
        <v>1</v>
      </c>
      <c r="N13" s="48"/>
      <c r="O13" s="49"/>
      <c r="P13" s="49"/>
      <c r="Q13" s="49"/>
      <c r="R13" s="49"/>
      <c r="S13" s="52"/>
    </row>
    <row r="14" spans="2:19">
      <c r="B14" s="44" t="s">
        <v>216</v>
      </c>
      <c r="C14" s="45" t="str">
        <f>"击杀"&amp;单位!C31</f>
        <v>击杀第4波远程</v>
      </c>
      <c r="D14" s="46" t="s">
        <v>36</v>
      </c>
      <c r="E14" s="46" t="s">
        <v>36</v>
      </c>
      <c r="F14" s="46" t="s">
        <v>36</v>
      </c>
      <c r="G14" s="46">
        <v>0</v>
      </c>
      <c r="H14" s="46">
        <v>0</v>
      </c>
      <c r="I14" s="46">
        <v>0</v>
      </c>
      <c r="J14" s="46">
        <v>0</v>
      </c>
      <c r="K14" s="46">
        <v>0</v>
      </c>
      <c r="L14" s="46">
        <v>0</v>
      </c>
      <c r="M14" s="46">
        <v>1</v>
      </c>
      <c r="N14" s="48"/>
      <c r="O14" s="49"/>
      <c r="P14" s="49"/>
      <c r="Q14" s="49"/>
      <c r="R14" s="49"/>
      <c r="S14" s="52"/>
    </row>
    <row r="15" spans="2:19">
      <c r="B15" s="44" t="s">
        <v>216</v>
      </c>
      <c r="C15" s="45" t="str">
        <f>"击杀"&amp;单位!C32</f>
        <v>击杀第5波远程</v>
      </c>
      <c r="D15" s="46" t="s">
        <v>36</v>
      </c>
      <c r="E15" s="46" t="s">
        <v>36</v>
      </c>
      <c r="F15" s="46" t="s">
        <v>36</v>
      </c>
      <c r="G15" s="46">
        <v>0</v>
      </c>
      <c r="H15" s="46">
        <v>0</v>
      </c>
      <c r="I15" s="46">
        <v>0</v>
      </c>
      <c r="J15" s="46">
        <v>0</v>
      </c>
      <c r="K15" s="46">
        <v>0</v>
      </c>
      <c r="L15" s="46">
        <v>0</v>
      </c>
      <c r="M15" s="46">
        <v>1</v>
      </c>
      <c r="N15" s="48"/>
      <c r="O15" s="49"/>
      <c r="P15" s="49"/>
      <c r="Q15" s="49"/>
      <c r="R15" s="49"/>
      <c r="S15" s="52"/>
    </row>
    <row r="16" spans="2:19">
      <c r="B16" s="44" t="s">
        <v>216</v>
      </c>
      <c r="C16" s="45" t="str">
        <f>"击杀"&amp;单位!C33</f>
        <v>击杀第6波远程</v>
      </c>
      <c r="D16" s="46" t="s">
        <v>36</v>
      </c>
      <c r="E16" s="46" t="s">
        <v>36</v>
      </c>
      <c r="F16" s="46" t="s">
        <v>36</v>
      </c>
      <c r="G16" s="46">
        <v>0</v>
      </c>
      <c r="H16" s="46">
        <v>0</v>
      </c>
      <c r="I16" s="46">
        <v>0</v>
      </c>
      <c r="J16" s="46">
        <v>0</v>
      </c>
      <c r="K16" s="46">
        <v>0</v>
      </c>
      <c r="L16" s="46">
        <v>0</v>
      </c>
      <c r="M16" s="46">
        <v>1</v>
      </c>
      <c r="N16" s="48"/>
      <c r="O16" s="49"/>
      <c r="P16" s="49"/>
      <c r="Q16" s="49"/>
      <c r="R16" s="49"/>
      <c r="S16" s="52"/>
    </row>
    <row r="17" spans="2:19">
      <c r="B17" s="44" t="s">
        <v>216</v>
      </c>
      <c r="C17" s="45" t="str">
        <f>"击杀"&amp;单位!C34</f>
        <v>击杀第7波远程</v>
      </c>
      <c r="D17" s="46" t="s">
        <v>36</v>
      </c>
      <c r="E17" s="46" t="s">
        <v>36</v>
      </c>
      <c r="F17" s="46" t="s">
        <v>36</v>
      </c>
      <c r="G17" s="46">
        <v>0</v>
      </c>
      <c r="H17" s="46">
        <v>0</v>
      </c>
      <c r="I17" s="46">
        <v>0</v>
      </c>
      <c r="J17" s="46">
        <v>0</v>
      </c>
      <c r="K17" s="46">
        <v>0</v>
      </c>
      <c r="L17" s="46">
        <v>0</v>
      </c>
      <c r="M17" s="46">
        <v>1</v>
      </c>
      <c r="N17" s="48"/>
      <c r="O17" s="49"/>
      <c r="P17" s="49"/>
      <c r="Q17" s="49"/>
      <c r="R17" s="49"/>
      <c r="S17" s="52"/>
    </row>
    <row r="18" spans="2:19">
      <c r="B18" s="44" t="s">
        <v>216</v>
      </c>
      <c r="C18" s="45" t="str">
        <f>"击杀"&amp;单位!C35</f>
        <v>击杀第8波远程</v>
      </c>
      <c r="D18" s="46" t="s">
        <v>36</v>
      </c>
      <c r="E18" s="46" t="s">
        <v>36</v>
      </c>
      <c r="F18" s="46" t="s">
        <v>36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1</v>
      </c>
      <c r="N18" s="48"/>
      <c r="O18" s="49"/>
      <c r="P18" s="49"/>
      <c r="Q18" s="49"/>
      <c r="R18" s="49"/>
      <c r="S18" s="52"/>
    </row>
    <row r="19" spans="2:19">
      <c r="B19" s="44" t="s">
        <v>216</v>
      </c>
      <c r="C19" s="45" t="str">
        <f>"击杀"&amp;单位!C36</f>
        <v>击杀第9波远程</v>
      </c>
      <c r="D19" s="46" t="s">
        <v>36</v>
      </c>
      <c r="E19" s="46" t="s">
        <v>36</v>
      </c>
      <c r="F19" s="46" t="s">
        <v>36</v>
      </c>
      <c r="G19" s="46">
        <v>0</v>
      </c>
      <c r="H19" s="46">
        <v>0</v>
      </c>
      <c r="I19" s="46">
        <v>0</v>
      </c>
      <c r="J19" s="46">
        <v>0</v>
      </c>
      <c r="K19" s="46">
        <v>0</v>
      </c>
      <c r="L19" s="46">
        <v>0</v>
      </c>
      <c r="M19" s="46">
        <v>1</v>
      </c>
      <c r="N19" s="48"/>
      <c r="O19" s="49"/>
      <c r="P19" s="49"/>
      <c r="Q19" s="49"/>
      <c r="R19" s="49"/>
      <c r="S19" s="52"/>
    </row>
    <row r="20" s="34" customFormat="1" spans="2:19">
      <c r="B20" s="44" t="s">
        <v>216</v>
      </c>
      <c r="C20" s="45" t="str">
        <f>"击杀"&amp;单位!C37</f>
        <v>击杀第10波远程</v>
      </c>
      <c r="D20" s="46" t="s">
        <v>36</v>
      </c>
      <c r="E20" s="46" t="s">
        <v>36</v>
      </c>
      <c r="F20" s="46" t="s">
        <v>36</v>
      </c>
      <c r="G20" s="46">
        <v>0</v>
      </c>
      <c r="H20" s="46">
        <v>0</v>
      </c>
      <c r="I20" s="46">
        <v>0</v>
      </c>
      <c r="J20" s="46">
        <v>0</v>
      </c>
      <c r="K20" s="46">
        <v>0</v>
      </c>
      <c r="L20" s="46">
        <v>0</v>
      </c>
      <c r="M20" s="46">
        <v>1</v>
      </c>
      <c r="N20" s="50"/>
      <c r="O20" s="51"/>
      <c r="P20" s="51"/>
      <c r="Q20" s="51"/>
      <c r="R20" s="51"/>
      <c r="S20" s="53"/>
    </row>
    <row r="21" spans="2:19">
      <c r="B21" s="44" t="s">
        <v>216</v>
      </c>
      <c r="C21" s="45" t="str">
        <f>"击杀"&amp;单位!C38</f>
        <v>击杀第11波远程</v>
      </c>
      <c r="D21" s="46" t="s">
        <v>36</v>
      </c>
      <c r="E21" s="46" t="s">
        <v>36</v>
      </c>
      <c r="F21" s="46" t="s">
        <v>36</v>
      </c>
      <c r="G21" s="46">
        <v>0</v>
      </c>
      <c r="H21" s="46">
        <v>0</v>
      </c>
      <c r="I21" s="46">
        <v>0</v>
      </c>
      <c r="J21" s="46">
        <v>0</v>
      </c>
      <c r="K21" s="46">
        <v>0</v>
      </c>
      <c r="L21" s="46">
        <v>0</v>
      </c>
      <c r="M21" s="46">
        <v>1</v>
      </c>
      <c r="N21" s="48"/>
      <c r="O21" s="49"/>
      <c r="P21" s="49"/>
      <c r="Q21" s="49"/>
      <c r="R21" s="49"/>
      <c r="S21" s="52"/>
    </row>
    <row r="22" spans="2:19">
      <c r="B22" s="44" t="s">
        <v>216</v>
      </c>
      <c r="C22" s="45" t="str">
        <f>"击杀"&amp;单位!C39</f>
        <v>击杀第12波远程</v>
      </c>
      <c r="D22" s="46" t="s">
        <v>36</v>
      </c>
      <c r="E22" s="46" t="s">
        <v>36</v>
      </c>
      <c r="F22" s="46" t="s">
        <v>36</v>
      </c>
      <c r="G22" s="46">
        <v>0</v>
      </c>
      <c r="H22" s="46">
        <v>0</v>
      </c>
      <c r="I22" s="46">
        <v>0</v>
      </c>
      <c r="J22" s="46">
        <v>0</v>
      </c>
      <c r="K22" s="46">
        <v>0</v>
      </c>
      <c r="L22" s="46">
        <v>0</v>
      </c>
      <c r="M22" s="46">
        <v>1</v>
      </c>
      <c r="N22" s="48"/>
      <c r="O22" s="49"/>
      <c r="P22" s="49"/>
      <c r="Q22" s="49"/>
      <c r="R22" s="49"/>
      <c r="S22" s="52"/>
    </row>
    <row r="23" spans="2:19">
      <c r="B23" s="44" t="s">
        <v>216</v>
      </c>
      <c r="C23" s="45" t="str">
        <f>"击杀"&amp;单位!C40</f>
        <v>击杀第13波远程</v>
      </c>
      <c r="D23" s="46" t="s">
        <v>36</v>
      </c>
      <c r="E23" s="46" t="s">
        <v>36</v>
      </c>
      <c r="F23" s="46" t="s">
        <v>36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1</v>
      </c>
      <c r="N23" s="48"/>
      <c r="O23" s="49"/>
      <c r="P23" s="49"/>
      <c r="Q23" s="49"/>
      <c r="R23" s="49"/>
      <c r="S23" s="52"/>
    </row>
    <row r="24" spans="2:19">
      <c r="B24" s="44" t="s">
        <v>216</v>
      </c>
      <c r="C24" s="45" t="str">
        <f>"击杀"&amp;单位!C41</f>
        <v>击杀第14波远程</v>
      </c>
      <c r="D24" s="46" t="s">
        <v>36</v>
      </c>
      <c r="E24" s="46" t="s">
        <v>36</v>
      </c>
      <c r="F24" s="46" t="s">
        <v>36</v>
      </c>
      <c r="G24" s="46">
        <v>0</v>
      </c>
      <c r="H24" s="46">
        <v>0</v>
      </c>
      <c r="I24" s="46">
        <v>0</v>
      </c>
      <c r="J24" s="46">
        <v>0</v>
      </c>
      <c r="K24" s="46">
        <v>0</v>
      </c>
      <c r="L24" s="46">
        <v>0</v>
      </c>
      <c r="M24" s="46">
        <v>1</v>
      </c>
      <c r="N24" s="48"/>
      <c r="O24" s="49"/>
      <c r="P24" s="49"/>
      <c r="Q24" s="49"/>
      <c r="R24" s="49"/>
      <c r="S24" s="52"/>
    </row>
    <row r="25" ht="15" customHeight="1" spans="2:19">
      <c r="B25" s="44" t="s">
        <v>216</v>
      </c>
      <c r="C25" s="45" t="str">
        <f>"击杀"&amp;单位!C42</f>
        <v>击杀第15波远程</v>
      </c>
      <c r="D25" s="46" t="s">
        <v>36</v>
      </c>
      <c r="E25" s="46" t="s">
        <v>36</v>
      </c>
      <c r="F25" s="46" t="s">
        <v>36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1</v>
      </c>
      <c r="N25" s="48"/>
      <c r="O25" s="49"/>
      <c r="P25" s="49"/>
      <c r="Q25" s="49"/>
      <c r="R25" s="49"/>
      <c r="S25" s="52"/>
    </row>
    <row r="26" spans="2:19">
      <c r="B26" s="44" t="s">
        <v>216</v>
      </c>
      <c r="C26" s="45" t="str">
        <f>"击杀"&amp;单位!C43</f>
        <v>击杀第16波远程</v>
      </c>
      <c r="D26" s="46" t="s">
        <v>36</v>
      </c>
      <c r="E26" s="46" t="s">
        <v>36</v>
      </c>
      <c r="F26" s="46" t="s">
        <v>36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1</v>
      </c>
      <c r="N26" s="48"/>
      <c r="O26" s="49"/>
      <c r="P26" s="49"/>
      <c r="Q26" s="49"/>
      <c r="R26" s="49"/>
      <c r="S26" s="52"/>
    </row>
    <row r="27" spans="2:19">
      <c r="B27" s="44" t="s">
        <v>216</v>
      </c>
      <c r="C27" s="45" t="str">
        <f>"击杀"&amp;单位!C44</f>
        <v>击杀第17波远程</v>
      </c>
      <c r="D27" s="46" t="s">
        <v>36</v>
      </c>
      <c r="E27" s="46" t="s">
        <v>36</v>
      </c>
      <c r="F27" s="46" t="s">
        <v>36</v>
      </c>
      <c r="G27" s="46">
        <v>0</v>
      </c>
      <c r="H27" s="46">
        <v>0</v>
      </c>
      <c r="I27" s="46">
        <v>0</v>
      </c>
      <c r="J27" s="46">
        <v>0</v>
      </c>
      <c r="K27" s="46">
        <v>0</v>
      </c>
      <c r="L27" s="46">
        <v>0</v>
      </c>
      <c r="M27" s="46">
        <v>1</v>
      </c>
      <c r="N27" s="48"/>
      <c r="O27" s="49"/>
      <c r="P27" s="49"/>
      <c r="Q27" s="49"/>
      <c r="R27" s="49"/>
      <c r="S27" s="52"/>
    </row>
    <row r="28" spans="2:19">
      <c r="B28" s="44" t="s">
        <v>216</v>
      </c>
      <c r="C28" s="45" t="str">
        <f>"击杀"&amp;单位!C45</f>
        <v>击杀第18波远程</v>
      </c>
      <c r="D28" s="46" t="s">
        <v>36</v>
      </c>
      <c r="E28" s="46" t="s">
        <v>36</v>
      </c>
      <c r="F28" s="46" t="s">
        <v>36</v>
      </c>
      <c r="G28" s="46">
        <v>0</v>
      </c>
      <c r="H28" s="46">
        <v>0</v>
      </c>
      <c r="I28" s="46">
        <v>0</v>
      </c>
      <c r="J28" s="46">
        <v>0</v>
      </c>
      <c r="K28" s="46">
        <v>0</v>
      </c>
      <c r="L28" s="46">
        <v>0</v>
      </c>
      <c r="M28" s="46">
        <v>1</v>
      </c>
      <c r="N28" s="48"/>
      <c r="O28" s="49"/>
      <c r="P28" s="49"/>
      <c r="Q28" s="49"/>
      <c r="R28" s="49"/>
      <c r="S28" s="52"/>
    </row>
    <row r="29" spans="2:19">
      <c r="B29" s="44" t="s">
        <v>216</v>
      </c>
      <c r="C29" s="45" t="str">
        <f>"击杀"&amp;单位!C46</f>
        <v>击杀第19波远程</v>
      </c>
      <c r="D29" s="46" t="s">
        <v>36</v>
      </c>
      <c r="E29" s="46" t="s">
        <v>36</v>
      </c>
      <c r="F29" s="46" t="s">
        <v>36</v>
      </c>
      <c r="G29" s="46">
        <v>0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1</v>
      </c>
      <c r="N29" s="48"/>
      <c r="O29" s="49"/>
      <c r="P29" s="49"/>
      <c r="Q29" s="49"/>
      <c r="R29" s="49"/>
      <c r="S29" s="52"/>
    </row>
    <row r="30" spans="2:19">
      <c r="B30" s="44" t="s">
        <v>216</v>
      </c>
      <c r="C30" s="45" t="str">
        <f>"击杀"&amp;单位!C47</f>
        <v>击杀第20波远程</v>
      </c>
      <c r="D30" s="46" t="s">
        <v>36</v>
      </c>
      <c r="E30" s="46" t="s">
        <v>36</v>
      </c>
      <c r="F30" s="46" t="s">
        <v>36</v>
      </c>
      <c r="G30" s="46">
        <v>0</v>
      </c>
      <c r="H30" s="46">
        <v>0</v>
      </c>
      <c r="I30" s="46">
        <v>0</v>
      </c>
      <c r="J30" s="46">
        <v>0</v>
      </c>
      <c r="K30" s="46">
        <v>0</v>
      </c>
      <c r="L30" s="46">
        <v>0</v>
      </c>
      <c r="M30" s="46">
        <v>1</v>
      </c>
      <c r="N30" s="48"/>
      <c r="O30" s="49"/>
      <c r="P30" s="49"/>
      <c r="Q30" s="49"/>
      <c r="R30" s="49"/>
      <c r="S30" s="52"/>
    </row>
    <row r="31" spans="2:19">
      <c r="B31" s="44" t="s">
        <v>216</v>
      </c>
      <c r="C31" s="45" t="str">
        <f>"击杀"&amp;单位!C48</f>
        <v>击杀第21波远程</v>
      </c>
      <c r="D31" s="46" t="s">
        <v>36</v>
      </c>
      <c r="E31" s="46" t="s">
        <v>36</v>
      </c>
      <c r="F31" s="46" t="s">
        <v>36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1</v>
      </c>
      <c r="N31" s="48"/>
      <c r="O31" s="49"/>
      <c r="P31" s="49"/>
      <c r="Q31" s="49"/>
      <c r="R31" s="49"/>
      <c r="S31" s="52"/>
    </row>
    <row r="32" spans="2:19">
      <c r="B32" s="44" t="s">
        <v>216</v>
      </c>
      <c r="C32" s="45" t="str">
        <f>"击杀"&amp;单位!C49</f>
        <v>击杀第22波远程</v>
      </c>
      <c r="D32" s="46" t="s">
        <v>36</v>
      </c>
      <c r="E32" s="46" t="s">
        <v>36</v>
      </c>
      <c r="F32" s="46" t="s">
        <v>36</v>
      </c>
      <c r="G32" s="46">
        <v>0</v>
      </c>
      <c r="H32" s="46">
        <v>0</v>
      </c>
      <c r="I32" s="46">
        <v>0</v>
      </c>
      <c r="J32" s="46">
        <v>0</v>
      </c>
      <c r="K32" s="46">
        <v>0</v>
      </c>
      <c r="L32" s="46">
        <v>0</v>
      </c>
      <c r="M32" s="46">
        <v>1</v>
      </c>
      <c r="N32" s="48"/>
      <c r="O32" s="49"/>
      <c r="P32" s="49"/>
      <c r="Q32" s="49"/>
      <c r="R32" s="49"/>
      <c r="S32" s="52"/>
    </row>
    <row r="33" spans="2:19">
      <c r="B33" s="44" t="s">
        <v>216</v>
      </c>
      <c r="C33" s="45" t="str">
        <f>"击杀"&amp;单位!C50</f>
        <v>击杀第23波远程</v>
      </c>
      <c r="D33" s="46" t="s">
        <v>36</v>
      </c>
      <c r="E33" s="46" t="s">
        <v>36</v>
      </c>
      <c r="F33" s="46" t="s">
        <v>36</v>
      </c>
      <c r="G33" s="46">
        <v>0</v>
      </c>
      <c r="H33" s="46">
        <v>0</v>
      </c>
      <c r="I33" s="46">
        <v>0</v>
      </c>
      <c r="J33" s="46">
        <v>0</v>
      </c>
      <c r="K33" s="46">
        <v>0</v>
      </c>
      <c r="L33" s="46">
        <v>0</v>
      </c>
      <c r="M33" s="46">
        <v>1</v>
      </c>
      <c r="N33" s="48"/>
      <c r="O33" s="49"/>
      <c r="P33" s="49"/>
      <c r="Q33" s="49"/>
      <c r="R33" s="49"/>
      <c r="S33" s="52"/>
    </row>
    <row r="34" spans="2:19">
      <c r="B34" s="44" t="s">
        <v>216</v>
      </c>
      <c r="C34" s="45" t="str">
        <f>"击杀"&amp;单位!C51</f>
        <v>击杀第24波远程</v>
      </c>
      <c r="D34" s="46" t="s">
        <v>36</v>
      </c>
      <c r="E34" s="46" t="s">
        <v>36</v>
      </c>
      <c r="F34" s="46" t="s">
        <v>36</v>
      </c>
      <c r="G34" s="46">
        <v>0</v>
      </c>
      <c r="H34" s="46">
        <v>0</v>
      </c>
      <c r="I34" s="46">
        <v>0</v>
      </c>
      <c r="J34" s="46">
        <v>0</v>
      </c>
      <c r="K34" s="46">
        <v>0</v>
      </c>
      <c r="L34" s="46">
        <v>0</v>
      </c>
      <c r="M34" s="46">
        <v>1</v>
      </c>
      <c r="N34" s="48"/>
      <c r="O34" s="49"/>
      <c r="P34" s="49"/>
      <c r="Q34" s="49"/>
      <c r="R34" s="49"/>
      <c r="S34" s="52"/>
    </row>
    <row r="35" spans="2:19">
      <c r="B35" s="44" t="s">
        <v>216</v>
      </c>
      <c r="C35" s="45" t="str">
        <f>"击杀"&amp;单位!C52</f>
        <v>击杀第25波远程</v>
      </c>
      <c r="D35" s="46" t="s">
        <v>36</v>
      </c>
      <c r="E35" s="46" t="s">
        <v>36</v>
      </c>
      <c r="F35" s="46" t="s">
        <v>36</v>
      </c>
      <c r="G35" s="46">
        <v>0</v>
      </c>
      <c r="H35" s="46">
        <v>0</v>
      </c>
      <c r="I35" s="46">
        <v>0</v>
      </c>
      <c r="J35" s="46">
        <v>0</v>
      </c>
      <c r="K35" s="46">
        <v>0</v>
      </c>
      <c r="L35" s="46">
        <v>0</v>
      </c>
      <c r="M35" s="46">
        <v>1</v>
      </c>
      <c r="N35" s="48"/>
      <c r="O35" s="49"/>
      <c r="P35" s="49"/>
      <c r="Q35" s="49"/>
      <c r="R35" s="49"/>
      <c r="S35" s="52"/>
    </row>
    <row r="36" spans="2:19">
      <c r="B36" s="44" t="s">
        <v>216</v>
      </c>
      <c r="C36" s="45" t="str">
        <f>"击杀"&amp;单位!C53</f>
        <v>击杀</v>
      </c>
      <c r="D36" s="46" t="s">
        <v>36</v>
      </c>
      <c r="E36" s="46" t="s">
        <v>36</v>
      </c>
      <c r="F36" s="46" t="s">
        <v>36</v>
      </c>
      <c r="G36" s="46">
        <v>0</v>
      </c>
      <c r="H36" s="46">
        <v>0</v>
      </c>
      <c r="I36" s="46">
        <v>0</v>
      </c>
      <c r="J36" s="46">
        <v>0</v>
      </c>
      <c r="K36" s="46">
        <v>0</v>
      </c>
      <c r="L36" s="46">
        <v>0</v>
      </c>
      <c r="M36" s="46">
        <v>1</v>
      </c>
      <c r="N36" s="48"/>
      <c r="O36" s="49"/>
      <c r="P36" s="49"/>
      <c r="Q36" s="49"/>
      <c r="R36" s="49"/>
      <c r="S36" s="52"/>
    </row>
    <row r="37" spans="2:19">
      <c r="B37" s="44" t="s">
        <v>216</v>
      </c>
      <c r="C37" s="45" t="str">
        <f>"击杀"&amp;单位!C54</f>
        <v>击杀</v>
      </c>
      <c r="D37" s="46" t="s">
        <v>36</v>
      </c>
      <c r="E37" s="46" t="s">
        <v>36</v>
      </c>
      <c r="F37" s="46" t="s">
        <v>36</v>
      </c>
      <c r="G37" s="46">
        <v>0</v>
      </c>
      <c r="H37" s="46">
        <v>0</v>
      </c>
      <c r="I37" s="46">
        <v>0</v>
      </c>
      <c r="J37" s="46">
        <v>0</v>
      </c>
      <c r="K37" s="46">
        <v>0</v>
      </c>
      <c r="L37" s="46">
        <v>0</v>
      </c>
      <c r="M37" s="46">
        <v>1</v>
      </c>
      <c r="N37" s="48"/>
      <c r="O37" s="49"/>
      <c r="P37" s="49"/>
      <c r="Q37" s="49"/>
      <c r="R37" s="49"/>
      <c r="S37" s="52"/>
    </row>
    <row r="38" spans="2:19">
      <c r="B38" s="44" t="s">
        <v>216</v>
      </c>
      <c r="C38" s="45" t="str">
        <f>"击杀"&amp;单位!C55</f>
        <v>击杀</v>
      </c>
      <c r="D38" s="46" t="s">
        <v>36</v>
      </c>
      <c r="E38" s="46" t="s">
        <v>36</v>
      </c>
      <c r="F38" s="46" t="s">
        <v>36</v>
      </c>
      <c r="G38" s="46">
        <v>0</v>
      </c>
      <c r="H38" s="46">
        <v>0</v>
      </c>
      <c r="I38" s="46">
        <v>0</v>
      </c>
      <c r="J38" s="46">
        <v>0</v>
      </c>
      <c r="K38" s="46">
        <v>0</v>
      </c>
      <c r="L38" s="46">
        <v>0</v>
      </c>
      <c r="M38" s="46">
        <v>1</v>
      </c>
      <c r="N38" s="48"/>
      <c r="O38" s="49"/>
      <c r="P38" s="49"/>
      <c r="Q38" s="49"/>
      <c r="R38" s="49"/>
      <c r="S38" s="52"/>
    </row>
    <row r="39" spans="2:19">
      <c r="B39" s="44" t="s">
        <v>216</v>
      </c>
      <c r="C39" s="45" t="str">
        <f>"击杀"&amp;单位!C56</f>
        <v>击杀</v>
      </c>
      <c r="D39" s="46" t="s">
        <v>36</v>
      </c>
      <c r="E39" s="46" t="s">
        <v>36</v>
      </c>
      <c r="F39" s="46" t="s">
        <v>36</v>
      </c>
      <c r="G39" s="46">
        <v>0</v>
      </c>
      <c r="H39" s="46">
        <v>0</v>
      </c>
      <c r="I39" s="46">
        <v>0</v>
      </c>
      <c r="J39" s="46">
        <v>0</v>
      </c>
      <c r="K39" s="46">
        <v>0</v>
      </c>
      <c r="L39" s="46">
        <v>0</v>
      </c>
      <c r="M39" s="46">
        <v>1</v>
      </c>
      <c r="N39" s="48"/>
      <c r="O39" s="49"/>
      <c r="P39" s="49"/>
      <c r="Q39" s="49"/>
      <c r="R39" s="49"/>
      <c r="S39" s="52"/>
    </row>
    <row r="40" spans="2:19">
      <c r="B40" s="44" t="s">
        <v>216</v>
      </c>
      <c r="C40" s="45" t="str">
        <f>"击杀"&amp;单位!C57</f>
        <v>击杀</v>
      </c>
      <c r="D40" s="46" t="s">
        <v>36</v>
      </c>
      <c r="E40" s="46" t="s">
        <v>36</v>
      </c>
      <c r="F40" s="46" t="s">
        <v>36</v>
      </c>
      <c r="G40" s="46">
        <v>0</v>
      </c>
      <c r="H40" s="46">
        <v>0</v>
      </c>
      <c r="I40" s="46">
        <v>0</v>
      </c>
      <c r="J40" s="46">
        <v>0</v>
      </c>
      <c r="K40" s="46">
        <v>0</v>
      </c>
      <c r="L40" s="46">
        <v>0</v>
      </c>
      <c r="M40" s="46">
        <v>1</v>
      </c>
      <c r="N40" s="48"/>
      <c r="O40" s="49"/>
      <c r="P40" s="49"/>
      <c r="Q40" s="49"/>
      <c r="R40" s="49"/>
      <c r="S40" s="52"/>
    </row>
    <row r="41" spans="2:19">
      <c r="B41" s="44" t="s">
        <v>216</v>
      </c>
      <c r="C41" s="45" t="str">
        <f>"击杀"&amp;单位!C58</f>
        <v>击杀</v>
      </c>
      <c r="D41" s="46" t="s">
        <v>36</v>
      </c>
      <c r="E41" s="46" t="s">
        <v>36</v>
      </c>
      <c r="F41" s="46" t="s">
        <v>36</v>
      </c>
      <c r="G41" s="46">
        <v>0</v>
      </c>
      <c r="H41" s="46">
        <v>0</v>
      </c>
      <c r="I41" s="46">
        <v>0</v>
      </c>
      <c r="J41" s="46">
        <v>0</v>
      </c>
      <c r="K41" s="46">
        <v>0</v>
      </c>
      <c r="L41" s="46">
        <v>0</v>
      </c>
      <c r="M41" s="46">
        <v>1</v>
      </c>
      <c r="N41" s="48"/>
      <c r="O41" s="49"/>
      <c r="P41" s="49"/>
      <c r="Q41" s="49"/>
      <c r="R41" s="49"/>
      <c r="S41" s="52"/>
    </row>
    <row r="42" spans="2:19">
      <c r="B42" s="44" t="s">
        <v>216</v>
      </c>
      <c r="C42" s="45" t="str">
        <f>"击杀"&amp;单位!C59</f>
        <v>击杀</v>
      </c>
      <c r="D42" s="46" t="s">
        <v>36</v>
      </c>
      <c r="E42" s="46" t="s">
        <v>36</v>
      </c>
      <c r="F42" s="46" t="s">
        <v>36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1</v>
      </c>
      <c r="N42" s="48"/>
      <c r="O42" s="49"/>
      <c r="P42" s="49"/>
      <c r="Q42" s="49"/>
      <c r="R42" s="49"/>
      <c r="S42" s="52"/>
    </row>
    <row r="43" spans="2:19">
      <c r="B43" s="44" t="s">
        <v>216</v>
      </c>
      <c r="C43" s="45" t="str">
        <f>"击杀"&amp;单位!C60</f>
        <v>击杀</v>
      </c>
      <c r="D43" s="46" t="s">
        <v>36</v>
      </c>
      <c r="E43" s="46" t="s">
        <v>36</v>
      </c>
      <c r="F43" s="46" t="s">
        <v>36</v>
      </c>
      <c r="G43" s="46">
        <v>0</v>
      </c>
      <c r="H43" s="46">
        <v>0</v>
      </c>
      <c r="I43" s="46">
        <v>0</v>
      </c>
      <c r="J43" s="46">
        <v>0</v>
      </c>
      <c r="K43" s="46">
        <v>0</v>
      </c>
      <c r="L43" s="46">
        <v>0</v>
      </c>
      <c r="M43" s="46">
        <v>1</v>
      </c>
      <c r="N43" s="48"/>
      <c r="O43" s="49"/>
      <c r="P43" s="49"/>
      <c r="Q43" s="49"/>
      <c r="R43" s="49"/>
      <c r="S43" s="52"/>
    </row>
    <row r="44" spans="2:19">
      <c r="B44" s="44" t="s">
        <v>216</v>
      </c>
      <c r="C44" s="45" t="str">
        <f>"击杀"&amp;单位!C61</f>
        <v>击杀</v>
      </c>
      <c r="D44" s="46" t="s">
        <v>36</v>
      </c>
      <c r="E44" s="46" t="s">
        <v>36</v>
      </c>
      <c r="F44" s="46" t="s">
        <v>36</v>
      </c>
      <c r="G44" s="46">
        <v>0</v>
      </c>
      <c r="H44" s="46">
        <v>0</v>
      </c>
      <c r="I44" s="46">
        <v>0</v>
      </c>
      <c r="J44" s="46">
        <v>0</v>
      </c>
      <c r="K44" s="46">
        <v>0</v>
      </c>
      <c r="L44" s="46">
        <v>0</v>
      </c>
      <c r="M44" s="46">
        <v>1</v>
      </c>
      <c r="N44" s="48"/>
      <c r="O44" s="49"/>
      <c r="P44" s="49"/>
      <c r="Q44" s="49"/>
      <c r="R44" s="49"/>
      <c r="S44" s="52"/>
    </row>
    <row r="45" spans="2:19">
      <c r="B45" s="44" t="s">
        <v>216</v>
      </c>
      <c r="C45" s="45" t="str">
        <f>"击杀"&amp;单位!C62</f>
        <v>击杀</v>
      </c>
      <c r="D45" s="46" t="s">
        <v>36</v>
      </c>
      <c r="E45" s="46" t="s">
        <v>36</v>
      </c>
      <c r="F45" s="46" t="s">
        <v>36</v>
      </c>
      <c r="G45" s="46">
        <v>0</v>
      </c>
      <c r="H45" s="46">
        <v>0</v>
      </c>
      <c r="I45" s="46">
        <v>0</v>
      </c>
      <c r="J45" s="46">
        <v>0</v>
      </c>
      <c r="K45" s="46">
        <v>0</v>
      </c>
      <c r="L45" s="46">
        <v>0</v>
      </c>
      <c r="M45" s="46">
        <v>1</v>
      </c>
      <c r="N45" s="48"/>
      <c r="O45" s="49"/>
      <c r="P45" s="49"/>
      <c r="Q45" s="49"/>
      <c r="R45" s="49"/>
      <c r="S45" s="52"/>
    </row>
    <row r="46" spans="2:19">
      <c r="B46" s="44" t="s">
        <v>216</v>
      </c>
      <c r="C46" s="45" t="str">
        <f>"击杀"&amp;单位!C63</f>
        <v>击杀</v>
      </c>
      <c r="D46" s="46" t="s">
        <v>36</v>
      </c>
      <c r="E46" s="46" t="s">
        <v>36</v>
      </c>
      <c r="F46" s="46" t="s">
        <v>36</v>
      </c>
      <c r="G46" s="46">
        <v>0</v>
      </c>
      <c r="H46" s="46">
        <v>0</v>
      </c>
      <c r="I46" s="46">
        <v>0</v>
      </c>
      <c r="J46" s="46">
        <v>0</v>
      </c>
      <c r="K46" s="46">
        <v>0</v>
      </c>
      <c r="L46" s="46">
        <v>0</v>
      </c>
      <c r="M46" s="46">
        <v>1</v>
      </c>
      <c r="N46" s="48"/>
      <c r="O46" s="49"/>
      <c r="P46" s="49"/>
      <c r="Q46" s="49"/>
      <c r="R46" s="49"/>
      <c r="S46" s="52"/>
    </row>
    <row r="47" spans="2:19">
      <c r="B47" s="44" t="s">
        <v>216</v>
      </c>
      <c r="C47" s="45" t="str">
        <f>"击杀"&amp;单位!C64</f>
        <v>击杀</v>
      </c>
      <c r="D47" s="46" t="s">
        <v>36</v>
      </c>
      <c r="E47" s="46" t="s">
        <v>36</v>
      </c>
      <c r="F47" s="46" t="s">
        <v>36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1</v>
      </c>
      <c r="N47" s="48"/>
      <c r="O47" s="49"/>
      <c r="P47" s="49"/>
      <c r="Q47" s="49"/>
      <c r="R47" s="49"/>
      <c r="S47" s="52"/>
    </row>
    <row r="48" spans="2:19">
      <c r="B48" s="44" t="s">
        <v>216</v>
      </c>
      <c r="C48" s="45" t="str">
        <f>"击杀"&amp;单位!C65</f>
        <v>击杀</v>
      </c>
      <c r="D48" s="46" t="s">
        <v>36</v>
      </c>
      <c r="E48" s="46" t="s">
        <v>36</v>
      </c>
      <c r="F48" s="46" t="s">
        <v>36</v>
      </c>
      <c r="G48" s="46">
        <v>0</v>
      </c>
      <c r="H48" s="46">
        <v>0</v>
      </c>
      <c r="I48" s="46">
        <v>0</v>
      </c>
      <c r="J48" s="46">
        <v>0</v>
      </c>
      <c r="K48" s="46">
        <v>0</v>
      </c>
      <c r="L48" s="46">
        <v>0</v>
      </c>
      <c r="M48" s="46">
        <v>1</v>
      </c>
      <c r="N48" s="48"/>
      <c r="O48" s="49"/>
      <c r="P48" s="49"/>
      <c r="Q48" s="49"/>
      <c r="R48" s="49"/>
      <c r="S48" s="52"/>
    </row>
    <row r="49" spans="2:19">
      <c r="B49" s="44" t="s">
        <v>216</v>
      </c>
      <c r="C49" s="45" t="str">
        <f>"击杀"&amp;单位!C66</f>
        <v>击杀</v>
      </c>
      <c r="D49" s="46" t="s">
        <v>36</v>
      </c>
      <c r="E49" s="46" t="s">
        <v>36</v>
      </c>
      <c r="F49" s="46" t="s">
        <v>36</v>
      </c>
      <c r="G49" s="46">
        <v>0</v>
      </c>
      <c r="H49" s="46">
        <v>0</v>
      </c>
      <c r="I49" s="46">
        <v>0</v>
      </c>
      <c r="J49" s="46">
        <v>0</v>
      </c>
      <c r="K49" s="46">
        <v>0</v>
      </c>
      <c r="L49" s="46">
        <v>0</v>
      </c>
      <c r="M49" s="46">
        <v>1</v>
      </c>
      <c r="N49" s="48"/>
      <c r="O49" s="49"/>
      <c r="P49" s="49"/>
      <c r="Q49" s="49"/>
      <c r="R49" s="49"/>
      <c r="S49" s="52"/>
    </row>
    <row r="50" spans="2:19">
      <c r="B50" s="44" t="s">
        <v>216</v>
      </c>
      <c r="C50" s="45" t="str">
        <f>"击杀"&amp;单位!C67</f>
        <v>击杀</v>
      </c>
      <c r="D50" s="46" t="s">
        <v>36</v>
      </c>
      <c r="E50" s="46" t="s">
        <v>36</v>
      </c>
      <c r="F50" s="46" t="s">
        <v>36</v>
      </c>
      <c r="G50" s="46">
        <v>0</v>
      </c>
      <c r="H50" s="46">
        <v>0</v>
      </c>
      <c r="I50" s="46">
        <v>0</v>
      </c>
      <c r="J50" s="46">
        <v>0</v>
      </c>
      <c r="K50" s="46">
        <v>0</v>
      </c>
      <c r="L50" s="46">
        <v>0</v>
      </c>
      <c r="M50" s="46">
        <v>1</v>
      </c>
      <c r="N50" s="48"/>
      <c r="O50" s="49"/>
      <c r="P50" s="49"/>
      <c r="Q50" s="49"/>
      <c r="R50" s="49"/>
      <c r="S50" s="52"/>
    </row>
    <row r="51" spans="2:19">
      <c r="B51" s="44" t="s">
        <v>216</v>
      </c>
      <c r="C51" s="45" t="str">
        <f>"击杀"&amp;单位!C80</f>
        <v>击杀</v>
      </c>
      <c r="D51" s="46" t="s">
        <v>36</v>
      </c>
      <c r="E51" s="46" t="s">
        <v>36</v>
      </c>
      <c r="F51" s="46" t="s">
        <v>36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1</v>
      </c>
      <c r="N51" s="48"/>
      <c r="O51" s="49"/>
      <c r="P51" s="49"/>
      <c r="Q51" s="49"/>
      <c r="R51" s="49"/>
      <c r="S51" s="52"/>
    </row>
    <row r="52" spans="2:19">
      <c r="B52" s="44" t="s">
        <v>216</v>
      </c>
      <c r="C52" s="45" t="str">
        <f>"击杀"&amp;单位!C81</f>
        <v>击杀</v>
      </c>
      <c r="D52" s="46" t="s">
        <v>36</v>
      </c>
      <c r="E52" s="46" t="s">
        <v>36</v>
      </c>
      <c r="F52" s="46" t="s">
        <v>36</v>
      </c>
      <c r="G52" s="46">
        <v>0</v>
      </c>
      <c r="H52" s="46">
        <v>0</v>
      </c>
      <c r="I52" s="46">
        <v>0</v>
      </c>
      <c r="J52" s="46">
        <v>0</v>
      </c>
      <c r="K52" s="46">
        <v>0</v>
      </c>
      <c r="L52" s="46">
        <v>0</v>
      </c>
      <c r="M52" s="46">
        <v>1</v>
      </c>
      <c r="N52" s="48"/>
      <c r="O52" s="49"/>
      <c r="P52" s="49"/>
      <c r="Q52" s="49"/>
      <c r="R52" s="49"/>
      <c r="S52" s="52"/>
    </row>
    <row r="53" spans="2:19">
      <c r="B53" s="44" t="s">
        <v>216</v>
      </c>
      <c r="C53" s="45" t="str">
        <f>"击杀"&amp;单位!C82</f>
        <v>击杀</v>
      </c>
      <c r="D53" s="46" t="s">
        <v>36</v>
      </c>
      <c r="E53" s="46" t="s">
        <v>36</v>
      </c>
      <c r="F53" s="46" t="s">
        <v>36</v>
      </c>
      <c r="G53" s="46">
        <v>0</v>
      </c>
      <c r="H53" s="46">
        <v>0</v>
      </c>
      <c r="I53" s="46">
        <v>0</v>
      </c>
      <c r="J53" s="46">
        <v>0</v>
      </c>
      <c r="K53" s="46">
        <v>0</v>
      </c>
      <c r="L53" s="46">
        <v>0</v>
      </c>
      <c r="M53" s="46">
        <v>1</v>
      </c>
      <c r="N53" s="48"/>
      <c r="O53" s="49"/>
      <c r="P53" s="49"/>
      <c r="Q53" s="49"/>
      <c r="R53" s="49"/>
      <c r="S53" s="52"/>
    </row>
    <row r="54" spans="2:19">
      <c r="B54" s="44" t="s">
        <v>216</v>
      </c>
      <c r="C54" s="45" t="str">
        <f>"击杀"&amp;单位!C83</f>
        <v>击杀</v>
      </c>
      <c r="D54" s="46" t="s">
        <v>36</v>
      </c>
      <c r="E54" s="46" t="s">
        <v>36</v>
      </c>
      <c r="F54" s="46" t="s">
        <v>36</v>
      </c>
      <c r="G54" s="46">
        <v>0</v>
      </c>
      <c r="H54" s="46">
        <v>0</v>
      </c>
      <c r="I54" s="46">
        <v>0</v>
      </c>
      <c r="J54" s="46">
        <v>0</v>
      </c>
      <c r="K54" s="46">
        <v>0</v>
      </c>
      <c r="L54" s="46">
        <v>0</v>
      </c>
      <c r="M54" s="46">
        <v>1</v>
      </c>
      <c r="N54" s="48"/>
      <c r="O54" s="49"/>
      <c r="P54" s="49"/>
      <c r="Q54" s="49"/>
      <c r="R54" s="49"/>
      <c r="S54" s="52"/>
    </row>
    <row r="55" spans="2:19">
      <c r="B55" s="44" t="s">
        <v>216</v>
      </c>
      <c r="C55" s="45" t="str">
        <f>"击杀"&amp;单位!C84</f>
        <v>击杀</v>
      </c>
      <c r="D55" s="46" t="s">
        <v>36</v>
      </c>
      <c r="E55" s="46" t="s">
        <v>36</v>
      </c>
      <c r="F55" s="46" t="s">
        <v>36</v>
      </c>
      <c r="G55" s="46">
        <v>0</v>
      </c>
      <c r="H55" s="46">
        <v>0</v>
      </c>
      <c r="I55" s="46">
        <v>0</v>
      </c>
      <c r="J55" s="46">
        <v>0</v>
      </c>
      <c r="K55" s="46">
        <v>0</v>
      </c>
      <c r="L55" s="46">
        <v>0</v>
      </c>
      <c r="M55" s="46">
        <v>1</v>
      </c>
      <c r="N55" s="48"/>
      <c r="O55" s="49"/>
      <c r="P55" s="49"/>
      <c r="Q55" s="49"/>
      <c r="R55" s="49"/>
      <c r="S55" s="52"/>
    </row>
    <row r="56" spans="2:19">
      <c r="B56" s="44" t="s">
        <v>216</v>
      </c>
      <c r="C56" s="45" t="str">
        <f>"击杀"&amp;单位!C85</f>
        <v>击杀</v>
      </c>
      <c r="D56" s="46" t="s">
        <v>36</v>
      </c>
      <c r="E56" s="46" t="s">
        <v>36</v>
      </c>
      <c r="F56" s="46" t="s">
        <v>36</v>
      </c>
      <c r="G56" s="46">
        <v>0</v>
      </c>
      <c r="H56" s="46">
        <v>0</v>
      </c>
      <c r="I56" s="46">
        <v>0</v>
      </c>
      <c r="J56" s="46">
        <v>0</v>
      </c>
      <c r="K56" s="46">
        <v>0</v>
      </c>
      <c r="L56" s="46">
        <v>0</v>
      </c>
      <c r="M56" s="46">
        <v>1</v>
      </c>
      <c r="N56" s="48"/>
      <c r="O56" s="49"/>
      <c r="P56" s="49"/>
      <c r="Q56" s="49"/>
      <c r="R56" s="49"/>
      <c r="S56" s="52"/>
    </row>
    <row r="57" spans="2:19">
      <c r="B57" s="44" t="s">
        <v>216</v>
      </c>
      <c r="C57" s="45" t="str">
        <f>"击杀"&amp;单位!C86</f>
        <v>击杀</v>
      </c>
      <c r="D57" s="46" t="s">
        <v>36</v>
      </c>
      <c r="E57" s="46" t="s">
        <v>36</v>
      </c>
      <c r="F57" s="46" t="s">
        <v>36</v>
      </c>
      <c r="G57" s="46">
        <v>0</v>
      </c>
      <c r="H57" s="46">
        <v>0</v>
      </c>
      <c r="I57" s="46">
        <v>0</v>
      </c>
      <c r="J57" s="46">
        <v>0</v>
      </c>
      <c r="K57" s="46">
        <v>0</v>
      </c>
      <c r="L57" s="46">
        <v>0</v>
      </c>
      <c r="M57" s="46">
        <v>1</v>
      </c>
      <c r="N57" s="48"/>
      <c r="O57" s="49"/>
      <c r="P57" s="49"/>
      <c r="Q57" s="49"/>
      <c r="R57" s="49"/>
      <c r="S57" s="52"/>
    </row>
    <row r="58" spans="2:19">
      <c r="B58" s="44" t="s">
        <v>216</v>
      </c>
      <c r="C58" s="45" t="str">
        <f>"击杀"&amp;单位!C87</f>
        <v>击杀</v>
      </c>
      <c r="D58" s="46" t="s">
        <v>36</v>
      </c>
      <c r="E58" s="46" t="s">
        <v>36</v>
      </c>
      <c r="F58" s="46" t="s">
        <v>36</v>
      </c>
      <c r="G58" s="46">
        <v>0</v>
      </c>
      <c r="H58" s="46">
        <v>0</v>
      </c>
      <c r="I58" s="46">
        <v>0</v>
      </c>
      <c r="J58" s="46">
        <v>0</v>
      </c>
      <c r="K58" s="46">
        <v>0</v>
      </c>
      <c r="L58" s="46">
        <v>0</v>
      </c>
      <c r="M58" s="46">
        <v>1</v>
      </c>
      <c r="N58" s="48"/>
      <c r="O58" s="49"/>
      <c r="P58" s="49"/>
      <c r="Q58" s="49"/>
      <c r="R58" s="49"/>
      <c r="S58" s="52"/>
    </row>
    <row r="59" spans="2:19">
      <c r="B59" s="44" t="s">
        <v>216</v>
      </c>
      <c r="C59" s="45" t="str">
        <f>"击杀"&amp;单位!C88</f>
        <v>击杀</v>
      </c>
      <c r="D59" s="46" t="s">
        <v>36</v>
      </c>
      <c r="E59" s="46" t="s">
        <v>36</v>
      </c>
      <c r="F59" s="46" t="s">
        <v>36</v>
      </c>
      <c r="G59" s="46">
        <v>0</v>
      </c>
      <c r="H59" s="46">
        <v>0</v>
      </c>
      <c r="I59" s="46">
        <v>0</v>
      </c>
      <c r="J59" s="46">
        <v>0</v>
      </c>
      <c r="K59" s="46">
        <v>0</v>
      </c>
      <c r="L59" s="46">
        <v>0</v>
      </c>
      <c r="M59" s="46">
        <v>1</v>
      </c>
      <c r="N59" s="48"/>
      <c r="O59" s="49"/>
      <c r="P59" s="49"/>
      <c r="Q59" s="49"/>
      <c r="R59" s="49"/>
      <c r="S59" s="52"/>
    </row>
    <row r="60" spans="2:19">
      <c r="B60" s="44" t="s">
        <v>216</v>
      </c>
      <c r="C60" s="45" t="str">
        <f>"击杀"&amp;单位!C89</f>
        <v>击杀</v>
      </c>
      <c r="D60" s="46" t="s">
        <v>36</v>
      </c>
      <c r="E60" s="46" t="s">
        <v>36</v>
      </c>
      <c r="F60" s="46" t="s">
        <v>36</v>
      </c>
      <c r="G60" s="46">
        <v>0</v>
      </c>
      <c r="H60" s="46">
        <v>0</v>
      </c>
      <c r="I60" s="46">
        <v>0</v>
      </c>
      <c r="J60" s="46">
        <v>0</v>
      </c>
      <c r="K60" s="46">
        <v>0</v>
      </c>
      <c r="L60" s="46">
        <v>0</v>
      </c>
      <c r="M60" s="46">
        <v>1</v>
      </c>
      <c r="N60" s="48"/>
      <c r="O60" s="49"/>
      <c r="P60" s="49"/>
      <c r="Q60" s="49"/>
      <c r="R60" s="49"/>
      <c r="S60" s="52"/>
    </row>
    <row r="61" spans="2:19">
      <c r="B61" s="44" t="s">
        <v>216</v>
      </c>
      <c r="C61" s="45" t="str">
        <f>"击杀"&amp;单位!C90</f>
        <v>击杀</v>
      </c>
      <c r="D61" s="46" t="s">
        <v>36</v>
      </c>
      <c r="E61" s="46" t="s">
        <v>36</v>
      </c>
      <c r="F61" s="46" t="s">
        <v>36</v>
      </c>
      <c r="G61" s="46">
        <v>0</v>
      </c>
      <c r="H61" s="46">
        <v>0</v>
      </c>
      <c r="I61" s="46">
        <v>0</v>
      </c>
      <c r="J61" s="46">
        <v>0</v>
      </c>
      <c r="K61" s="46">
        <v>0</v>
      </c>
      <c r="L61" s="46">
        <v>0</v>
      </c>
      <c r="M61" s="46">
        <v>1</v>
      </c>
      <c r="N61" s="48"/>
      <c r="O61" s="49"/>
      <c r="P61" s="49"/>
      <c r="Q61" s="49"/>
      <c r="R61" s="49"/>
      <c r="S61" s="52"/>
    </row>
    <row r="62" spans="2:19">
      <c r="B62" s="44" t="s">
        <v>216</v>
      </c>
      <c r="C62" s="45" t="str">
        <f>"击杀"&amp;单位!C91</f>
        <v>击杀</v>
      </c>
      <c r="D62" s="46" t="s">
        <v>36</v>
      </c>
      <c r="E62" s="46" t="s">
        <v>36</v>
      </c>
      <c r="F62" s="46" t="s">
        <v>36</v>
      </c>
      <c r="G62" s="46">
        <v>0</v>
      </c>
      <c r="H62" s="46">
        <v>0</v>
      </c>
      <c r="I62" s="46">
        <v>0</v>
      </c>
      <c r="J62" s="46">
        <v>0</v>
      </c>
      <c r="K62" s="46">
        <v>0</v>
      </c>
      <c r="L62" s="46">
        <v>0</v>
      </c>
      <c r="M62" s="46">
        <v>1</v>
      </c>
      <c r="N62" s="48"/>
      <c r="O62" s="49"/>
      <c r="P62" s="49"/>
      <c r="Q62" s="49"/>
      <c r="R62" s="49"/>
      <c r="S62" s="52"/>
    </row>
    <row r="63" spans="2:19">
      <c r="B63" s="44" t="s">
        <v>216</v>
      </c>
      <c r="C63" s="45" t="str">
        <f>"击杀"&amp;单位!C92</f>
        <v>击杀</v>
      </c>
      <c r="D63" s="46" t="s">
        <v>36</v>
      </c>
      <c r="E63" s="46" t="s">
        <v>36</v>
      </c>
      <c r="F63" s="46" t="s">
        <v>36</v>
      </c>
      <c r="G63" s="46">
        <v>0</v>
      </c>
      <c r="H63" s="46">
        <v>0</v>
      </c>
      <c r="I63" s="46">
        <v>0</v>
      </c>
      <c r="J63" s="46">
        <v>0</v>
      </c>
      <c r="K63" s="46">
        <v>0</v>
      </c>
      <c r="L63" s="46">
        <v>0</v>
      </c>
      <c r="M63" s="46">
        <v>1</v>
      </c>
      <c r="N63" s="48"/>
      <c r="O63" s="49"/>
      <c r="P63" s="49"/>
      <c r="Q63" s="49"/>
      <c r="R63" s="49"/>
      <c r="S63" s="52"/>
    </row>
    <row r="64" spans="2:19">
      <c r="B64" s="44" t="s">
        <v>216</v>
      </c>
      <c r="C64" s="45" t="str">
        <f>"击杀"&amp;单位!C93</f>
        <v>击杀</v>
      </c>
      <c r="D64" s="46" t="s">
        <v>36</v>
      </c>
      <c r="E64" s="46" t="s">
        <v>36</v>
      </c>
      <c r="F64" s="46" t="s">
        <v>36</v>
      </c>
      <c r="G64" s="46">
        <v>0</v>
      </c>
      <c r="H64" s="46">
        <v>0</v>
      </c>
      <c r="I64" s="46">
        <v>0</v>
      </c>
      <c r="J64" s="46">
        <v>0</v>
      </c>
      <c r="K64" s="46">
        <v>0</v>
      </c>
      <c r="L64" s="46">
        <v>0</v>
      </c>
      <c r="M64" s="46">
        <v>1</v>
      </c>
      <c r="N64" s="48"/>
      <c r="O64" s="49"/>
      <c r="P64" s="49"/>
      <c r="Q64" s="49"/>
      <c r="R64" s="49"/>
      <c r="S64" s="52"/>
    </row>
    <row r="65" spans="2:19">
      <c r="B65" s="44" t="s">
        <v>216</v>
      </c>
      <c r="C65" s="45" t="str">
        <f>"击杀"&amp;单位!C94</f>
        <v>击杀</v>
      </c>
      <c r="D65" s="46" t="s">
        <v>36</v>
      </c>
      <c r="E65" s="46" t="s">
        <v>36</v>
      </c>
      <c r="F65" s="46" t="s">
        <v>36</v>
      </c>
      <c r="G65" s="46">
        <v>0</v>
      </c>
      <c r="H65" s="46">
        <v>0</v>
      </c>
      <c r="I65" s="46">
        <v>0</v>
      </c>
      <c r="J65" s="46">
        <v>0</v>
      </c>
      <c r="K65" s="46">
        <v>0</v>
      </c>
      <c r="L65" s="46">
        <v>0</v>
      </c>
      <c r="M65" s="46">
        <v>1</v>
      </c>
      <c r="N65" s="48"/>
      <c r="O65" s="49"/>
      <c r="P65" s="49"/>
      <c r="Q65" s="49"/>
      <c r="R65" s="49"/>
      <c r="S65" s="52"/>
    </row>
    <row r="66" spans="2:19">
      <c r="B66" s="44" t="s">
        <v>216</v>
      </c>
      <c r="C66" s="45" t="str">
        <f>"击杀"&amp;单位!C95</f>
        <v>击杀</v>
      </c>
      <c r="D66" s="46" t="s">
        <v>36</v>
      </c>
      <c r="E66" s="46" t="s">
        <v>36</v>
      </c>
      <c r="F66" s="46" t="s">
        <v>36</v>
      </c>
      <c r="G66" s="46">
        <v>0</v>
      </c>
      <c r="H66" s="46">
        <v>0</v>
      </c>
      <c r="I66" s="46">
        <v>0</v>
      </c>
      <c r="J66" s="46">
        <v>0</v>
      </c>
      <c r="K66" s="46">
        <v>0</v>
      </c>
      <c r="L66" s="46">
        <v>0</v>
      </c>
      <c r="M66" s="46">
        <v>1</v>
      </c>
      <c r="N66" s="48"/>
      <c r="O66" s="49"/>
      <c r="P66" s="49"/>
      <c r="Q66" s="49"/>
      <c r="R66" s="49"/>
      <c r="S66" s="52"/>
    </row>
    <row r="67" spans="2:19">
      <c r="B67" s="44" t="s">
        <v>216</v>
      </c>
      <c r="C67" s="45" t="str">
        <f>"击杀"&amp;单位!C96</f>
        <v>击杀</v>
      </c>
      <c r="D67" s="46" t="s">
        <v>36</v>
      </c>
      <c r="E67" s="46" t="s">
        <v>36</v>
      </c>
      <c r="F67" s="46" t="s">
        <v>36</v>
      </c>
      <c r="G67" s="46">
        <v>0</v>
      </c>
      <c r="H67" s="46">
        <v>0</v>
      </c>
      <c r="I67" s="46">
        <v>0</v>
      </c>
      <c r="J67" s="46">
        <v>0</v>
      </c>
      <c r="K67" s="46">
        <v>0</v>
      </c>
      <c r="L67" s="46">
        <v>0</v>
      </c>
      <c r="M67" s="46">
        <v>1</v>
      </c>
      <c r="N67" s="48"/>
      <c r="O67" s="49"/>
      <c r="P67" s="49"/>
      <c r="Q67" s="49"/>
      <c r="R67" s="49"/>
      <c r="S67" s="52"/>
    </row>
    <row r="68" spans="2:19">
      <c r="B68" s="44" t="s">
        <v>216</v>
      </c>
      <c r="C68" s="45" t="str">
        <f>"击杀"&amp;单位!C97</f>
        <v>击杀</v>
      </c>
      <c r="D68" s="46" t="s">
        <v>36</v>
      </c>
      <c r="E68" s="46" t="s">
        <v>36</v>
      </c>
      <c r="F68" s="46" t="s">
        <v>36</v>
      </c>
      <c r="G68" s="46">
        <v>0</v>
      </c>
      <c r="H68" s="46">
        <v>0</v>
      </c>
      <c r="I68" s="46">
        <v>0</v>
      </c>
      <c r="J68" s="46">
        <v>0</v>
      </c>
      <c r="K68" s="46">
        <v>0</v>
      </c>
      <c r="L68" s="46">
        <v>0</v>
      </c>
      <c r="M68" s="46">
        <v>1</v>
      </c>
      <c r="N68" s="48"/>
      <c r="O68" s="49"/>
      <c r="P68" s="49"/>
      <c r="Q68" s="49"/>
      <c r="R68" s="49"/>
      <c r="S68" s="52"/>
    </row>
    <row r="69" spans="2:19">
      <c r="B69" s="44" t="s">
        <v>216</v>
      </c>
      <c r="C69" s="45" t="str">
        <f>"击杀"&amp;单位!C98</f>
        <v>击杀</v>
      </c>
      <c r="D69" s="46" t="s">
        <v>36</v>
      </c>
      <c r="E69" s="46" t="s">
        <v>36</v>
      </c>
      <c r="F69" s="46" t="s">
        <v>36</v>
      </c>
      <c r="G69" s="46">
        <v>0</v>
      </c>
      <c r="H69" s="46">
        <v>0</v>
      </c>
      <c r="I69" s="46">
        <v>0</v>
      </c>
      <c r="J69" s="46">
        <v>0</v>
      </c>
      <c r="K69" s="46">
        <v>0</v>
      </c>
      <c r="L69" s="46">
        <v>0</v>
      </c>
      <c r="M69" s="46">
        <v>1</v>
      </c>
      <c r="N69" s="48"/>
      <c r="O69" s="49"/>
      <c r="P69" s="49"/>
      <c r="Q69" s="49"/>
      <c r="R69" s="49"/>
      <c r="S69" s="52"/>
    </row>
    <row r="70" spans="2:19">
      <c r="B70" s="44" t="s">
        <v>216</v>
      </c>
      <c r="C70" s="45" t="str">
        <f>"击杀"&amp;单位!C99</f>
        <v>击杀</v>
      </c>
      <c r="D70" s="46" t="s">
        <v>36</v>
      </c>
      <c r="E70" s="46" t="s">
        <v>36</v>
      </c>
      <c r="F70" s="46" t="s">
        <v>36</v>
      </c>
      <c r="G70" s="46">
        <v>0</v>
      </c>
      <c r="H70" s="46">
        <v>0</v>
      </c>
      <c r="I70" s="46">
        <v>0</v>
      </c>
      <c r="J70" s="46">
        <v>0</v>
      </c>
      <c r="K70" s="46">
        <v>0</v>
      </c>
      <c r="L70" s="46">
        <v>0</v>
      </c>
      <c r="M70" s="46">
        <v>1</v>
      </c>
      <c r="N70" s="48"/>
      <c r="O70" s="49"/>
      <c r="P70" s="49"/>
      <c r="Q70" s="49"/>
      <c r="R70" s="49"/>
      <c r="S70" s="52"/>
    </row>
    <row r="71" spans="2:19">
      <c r="B71" s="44" t="s">
        <v>216</v>
      </c>
      <c r="C71" s="45" t="str">
        <f>"击杀"&amp;单位!C106</f>
        <v>击杀</v>
      </c>
      <c r="D71" s="46" t="s">
        <v>36</v>
      </c>
      <c r="E71" s="46" t="s">
        <v>36</v>
      </c>
      <c r="F71" s="46" t="s">
        <v>36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1</v>
      </c>
      <c r="N71" s="48"/>
      <c r="O71" s="49"/>
      <c r="P71" s="49"/>
      <c r="Q71" s="49"/>
      <c r="R71" s="49"/>
      <c r="S71" s="52"/>
    </row>
    <row r="72" spans="2:19">
      <c r="B72" s="44" t="s">
        <v>216</v>
      </c>
      <c r="C72" s="45" t="str">
        <f>"击杀"&amp;单位!C107</f>
        <v>击杀</v>
      </c>
      <c r="D72" s="46" t="s">
        <v>36</v>
      </c>
      <c r="E72" s="46" t="s">
        <v>36</v>
      </c>
      <c r="F72" s="46" t="s">
        <v>36</v>
      </c>
      <c r="G72" s="46">
        <v>0</v>
      </c>
      <c r="H72" s="46">
        <v>0</v>
      </c>
      <c r="I72" s="46">
        <v>0</v>
      </c>
      <c r="J72" s="46">
        <v>0</v>
      </c>
      <c r="K72" s="46">
        <v>0</v>
      </c>
      <c r="L72" s="46">
        <v>0</v>
      </c>
      <c r="M72" s="46">
        <v>1</v>
      </c>
      <c r="N72" s="48"/>
      <c r="O72" s="49"/>
      <c r="P72" s="49"/>
      <c r="Q72" s="49"/>
      <c r="R72" s="49"/>
      <c r="S72" s="52"/>
    </row>
    <row r="73" spans="2:19">
      <c r="B73" s="44" t="s">
        <v>216</v>
      </c>
      <c r="C73" s="45" t="str">
        <f>"击杀"&amp;单位!C108</f>
        <v>击杀</v>
      </c>
      <c r="D73" s="46" t="s">
        <v>36</v>
      </c>
      <c r="E73" s="46" t="s">
        <v>36</v>
      </c>
      <c r="F73" s="46" t="s">
        <v>36</v>
      </c>
      <c r="G73" s="46">
        <v>0</v>
      </c>
      <c r="H73" s="46">
        <v>0</v>
      </c>
      <c r="I73" s="46">
        <v>0</v>
      </c>
      <c r="J73" s="46">
        <v>0</v>
      </c>
      <c r="K73" s="46">
        <v>0</v>
      </c>
      <c r="L73" s="46">
        <v>0</v>
      </c>
      <c r="M73" s="46">
        <v>1</v>
      </c>
      <c r="N73" s="48"/>
      <c r="O73" s="49"/>
      <c r="P73" s="49"/>
      <c r="Q73" s="49"/>
      <c r="R73" s="49"/>
      <c r="S73" s="52"/>
    </row>
    <row r="74" spans="2:19">
      <c r="B74" s="44" t="s">
        <v>216</v>
      </c>
      <c r="C74" s="45" t="str">
        <f>"击杀"&amp;单位!C109</f>
        <v>击杀</v>
      </c>
      <c r="D74" s="46" t="s">
        <v>36</v>
      </c>
      <c r="E74" s="46" t="s">
        <v>36</v>
      </c>
      <c r="F74" s="46" t="s">
        <v>36</v>
      </c>
      <c r="G74" s="46">
        <v>0</v>
      </c>
      <c r="H74" s="46">
        <v>0</v>
      </c>
      <c r="I74" s="46">
        <v>0</v>
      </c>
      <c r="J74" s="46">
        <v>0</v>
      </c>
      <c r="K74" s="46">
        <v>0</v>
      </c>
      <c r="L74" s="46">
        <v>0</v>
      </c>
      <c r="M74" s="46">
        <v>1</v>
      </c>
      <c r="N74" s="48"/>
      <c r="O74" s="49"/>
      <c r="P74" s="49"/>
      <c r="Q74" s="49"/>
      <c r="R74" s="49"/>
      <c r="S74" s="52"/>
    </row>
    <row r="75" s="35" customFormat="1" spans="2:19">
      <c r="B75" s="44" t="s">
        <v>216</v>
      </c>
      <c r="C75" s="45" t="str">
        <f>"击杀"&amp;MID(单位!C128,1,6)</f>
        <v>击杀</v>
      </c>
      <c r="D75" s="46" t="s">
        <v>36</v>
      </c>
      <c r="E75" s="46" t="s">
        <v>36</v>
      </c>
      <c r="F75" s="46" t="s">
        <v>36</v>
      </c>
      <c r="G75" s="46">
        <v>0</v>
      </c>
      <c r="H75" s="46">
        <v>0</v>
      </c>
      <c r="I75" s="46">
        <v>0</v>
      </c>
      <c r="J75" s="46">
        <v>0</v>
      </c>
      <c r="K75" s="46">
        <v>0</v>
      </c>
      <c r="L75" s="46">
        <v>0</v>
      </c>
      <c r="M75" s="46">
        <v>1</v>
      </c>
      <c r="N75" s="48"/>
      <c r="O75" s="48"/>
      <c r="P75" s="48"/>
      <c r="Q75" s="48"/>
      <c r="R75" s="48"/>
      <c r="S75" s="60"/>
    </row>
    <row r="76" s="36" customFormat="1" spans="2:19">
      <c r="B76" s="44" t="s">
        <v>216</v>
      </c>
      <c r="C76" s="45" t="str">
        <f>"击杀"&amp;MID(单位!C129,1,6)</f>
        <v>击杀</v>
      </c>
      <c r="D76" s="46" t="s">
        <v>36</v>
      </c>
      <c r="E76" s="46" t="s">
        <v>36</v>
      </c>
      <c r="F76" s="46" t="s">
        <v>36</v>
      </c>
      <c r="G76" s="46">
        <v>0</v>
      </c>
      <c r="H76" s="46">
        <v>0</v>
      </c>
      <c r="I76" s="46">
        <v>0</v>
      </c>
      <c r="J76" s="46">
        <v>0</v>
      </c>
      <c r="K76" s="46">
        <v>0</v>
      </c>
      <c r="L76" s="46">
        <v>0</v>
      </c>
      <c r="M76" s="46">
        <v>1</v>
      </c>
      <c r="N76" s="54"/>
      <c r="O76" s="54"/>
      <c r="P76" s="54"/>
      <c r="Q76" s="54"/>
      <c r="R76" s="54"/>
      <c r="S76" s="54"/>
    </row>
    <row r="77" s="36" customFormat="1" spans="2:19">
      <c r="B77" s="44" t="s">
        <v>216</v>
      </c>
      <c r="C77" s="45" t="str">
        <f>"击杀"&amp;MID(单位!C130,1,6)</f>
        <v>击杀</v>
      </c>
      <c r="D77" s="46" t="s">
        <v>36</v>
      </c>
      <c r="E77" s="46" t="s">
        <v>36</v>
      </c>
      <c r="F77" s="46" t="s">
        <v>36</v>
      </c>
      <c r="G77" s="46">
        <v>0</v>
      </c>
      <c r="H77" s="46">
        <v>0</v>
      </c>
      <c r="I77" s="46">
        <v>0</v>
      </c>
      <c r="J77" s="46">
        <v>0</v>
      </c>
      <c r="K77" s="46">
        <v>0</v>
      </c>
      <c r="L77" s="46">
        <v>0</v>
      </c>
      <c r="M77" s="46">
        <v>1</v>
      </c>
      <c r="N77" s="54"/>
      <c r="O77" s="54"/>
      <c r="P77" s="54"/>
      <c r="Q77" s="54"/>
      <c r="R77" s="54"/>
      <c r="S77" s="54"/>
    </row>
    <row r="78" s="36" customFormat="1" spans="2:19">
      <c r="B78" s="44" t="s">
        <v>216</v>
      </c>
      <c r="C78" s="45" t="str">
        <f>"击杀"&amp;MID(单位!C131,1,6)</f>
        <v>击杀</v>
      </c>
      <c r="D78" s="46" t="s">
        <v>36</v>
      </c>
      <c r="E78" s="46" t="s">
        <v>36</v>
      </c>
      <c r="F78" s="46" t="s">
        <v>36</v>
      </c>
      <c r="G78" s="46">
        <v>0</v>
      </c>
      <c r="H78" s="46">
        <v>0</v>
      </c>
      <c r="I78" s="46">
        <v>0</v>
      </c>
      <c r="J78" s="46">
        <v>0</v>
      </c>
      <c r="K78" s="46">
        <v>0</v>
      </c>
      <c r="L78" s="46">
        <v>0</v>
      </c>
      <c r="M78" s="46">
        <v>1</v>
      </c>
      <c r="N78" s="54"/>
      <c r="O78" s="54"/>
      <c r="P78" s="54"/>
      <c r="Q78" s="54"/>
      <c r="R78" s="54"/>
      <c r="S78" s="54"/>
    </row>
    <row r="79" s="36" customFormat="1" spans="2:19">
      <c r="B79" s="44" t="s">
        <v>216</v>
      </c>
      <c r="C79" s="45" t="str">
        <f>"击杀"&amp;MID(单位!C132,1,6)</f>
        <v>击杀</v>
      </c>
      <c r="D79" s="46" t="s">
        <v>36</v>
      </c>
      <c r="E79" s="46" t="s">
        <v>36</v>
      </c>
      <c r="F79" s="46" t="s">
        <v>36</v>
      </c>
      <c r="G79" s="46">
        <v>0</v>
      </c>
      <c r="H79" s="46">
        <v>0</v>
      </c>
      <c r="I79" s="46">
        <v>0</v>
      </c>
      <c r="J79" s="46">
        <v>0</v>
      </c>
      <c r="K79" s="46">
        <v>0</v>
      </c>
      <c r="L79" s="46">
        <v>0</v>
      </c>
      <c r="M79" s="46">
        <v>1</v>
      </c>
      <c r="N79" s="54"/>
      <c r="O79" s="54"/>
      <c r="P79" s="54"/>
      <c r="Q79" s="54"/>
      <c r="R79" s="54"/>
      <c r="S79" s="54"/>
    </row>
    <row r="80" s="36" customFormat="1" spans="2:19">
      <c r="B80" s="44" t="s">
        <v>216</v>
      </c>
      <c r="C80" s="45" t="str">
        <f>"击杀"&amp;MID(单位!C133,1,6)</f>
        <v>击杀</v>
      </c>
      <c r="D80" s="46" t="s">
        <v>36</v>
      </c>
      <c r="E80" s="46" t="s">
        <v>36</v>
      </c>
      <c r="F80" s="46" t="s">
        <v>36</v>
      </c>
      <c r="G80" s="46">
        <v>0</v>
      </c>
      <c r="H80" s="46">
        <v>0</v>
      </c>
      <c r="I80" s="46">
        <v>0</v>
      </c>
      <c r="J80" s="46">
        <v>0</v>
      </c>
      <c r="K80" s="46">
        <v>0</v>
      </c>
      <c r="L80" s="46">
        <v>0</v>
      </c>
      <c r="M80" s="46">
        <v>1</v>
      </c>
      <c r="N80" s="54"/>
      <c r="O80" s="54"/>
      <c r="P80" s="54"/>
      <c r="Q80" s="54"/>
      <c r="R80" s="54"/>
      <c r="S80" s="54"/>
    </row>
    <row r="81" s="36" customFormat="1" spans="2:19">
      <c r="B81" s="44" t="s">
        <v>216</v>
      </c>
      <c r="C81" s="45" t="str">
        <f>"击杀"&amp;MID(单位!C134,1,6)</f>
        <v>击杀</v>
      </c>
      <c r="D81" s="46" t="s">
        <v>36</v>
      </c>
      <c r="E81" s="46" t="s">
        <v>36</v>
      </c>
      <c r="F81" s="46" t="s">
        <v>36</v>
      </c>
      <c r="G81" s="46">
        <v>0</v>
      </c>
      <c r="H81" s="46">
        <v>0</v>
      </c>
      <c r="I81" s="46">
        <v>0</v>
      </c>
      <c r="J81" s="46">
        <v>0</v>
      </c>
      <c r="K81" s="46">
        <v>0</v>
      </c>
      <c r="L81" s="46">
        <v>0</v>
      </c>
      <c r="M81" s="46">
        <v>1</v>
      </c>
      <c r="N81" s="54"/>
      <c r="O81" s="54"/>
      <c r="P81" s="54"/>
      <c r="Q81" s="54"/>
      <c r="R81" s="54"/>
      <c r="S81" s="54"/>
    </row>
    <row r="82" s="36" customFormat="1" spans="2:19">
      <c r="B82" s="44" t="s">
        <v>216</v>
      </c>
      <c r="C82" s="45" t="str">
        <f>"击杀"&amp;MID(单位!C135,1,6)</f>
        <v>击杀</v>
      </c>
      <c r="D82" s="46" t="s">
        <v>36</v>
      </c>
      <c r="E82" s="46" t="s">
        <v>36</v>
      </c>
      <c r="F82" s="46" t="s">
        <v>36</v>
      </c>
      <c r="G82" s="46">
        <v>0</v>
      </c>
      <c r="H82" s="46">
        <v>0</v>
      </c>
      <c r="I82" s="46">
        <v>0</v>
      </c>
      <c r="J82" s="46">
        <v>0</v>
      </c>
      <c r="K82" s="46">
        <v>0</v>
      </c>
      <c r="L82" s="46">
        <v>0</v>
      </c>
      <c r="M82" s="46">
        <v>1</v>
      </c>
      <c r="N82" s="54"/>
      <c r="O82" s="54"/>
      <c r="P82" s="54"/>
      <c r="Q82" s="54"/>
      <c r="R82" s="54"/>
      <c r="S82" s="54"/>
    </row>
    <row r="83" s="36" customFormat="1" spans="2:19">
      <c r="B83" s="44" t="s">
        <v>216</v>
      </c>
      <c r="C83" s="45" t="str">
        <f>"击杀"&amp;MID(单位!C136,1,6)</f>
        <v>击杀</v>
      </c>
      <c r="D83" s="46" t="s">
        <v>36</v>
      </c>
      <c r="E83" s="46" t="s">
        <v>36</v>
      </c>
      <c r="F83" s="46" t="s">
        <v>36</v>
      </c>
      <c r="G83" s="46">
        <v>0</v>
      </c>
      <c r="H83" s="46">
        <v>0</v>
      </c>
      <c r="I83" s="46">
        <v>0</v>
      </c>
      <c r="J83" s="46">
        <v>0</v>
      </c>
      <c r="K83" s="46">
        <v>0</v>
      </c>
      <c r="L83" s="46">
        <v>0</v>
      </c>
      <c r="M83" s="46">
        <v>1</v>
      </c>
      <c r="N83" s="54"/>
      <c r="O83" s="54"/>
      <c r="P83" s="54"/>
      <c r="Q83" s="54"/>
      <c r="R83" s="54"/>
      <c r="S83" s="54"/>
    </row>
    <row r="84" s="36" customFormat="1" spans="2:19">
      <c r="B84" s="44" t="s">
        <v>216</v>
      </c>
      <c r="C84" s="45" t="str">
        <f>"击杀"&amp;MID(单位!C137,1,6)</f>
        <v>击杀</v>
      </c>
      <c r="D84" s="46" t="s">
        <v>36</v>
      </c>
      <c r="E84" s="46" t="s">
        <v>36</v>
      </c>
      <c r="F84" s="46" t="s">
        <v>36</v>
      </c>
      <c r="G84" s="46">
        <v>0</v>
      </c>
      <c r="H84" s="46">
        <v>0</v>
      </c>
      <c r="I84" s="46">
        <v>0</v>
      </c>
      <c r="J84" s="46">
        <v>0</v>
      </c>
      <c r="K84" s="46">
        <v>0</v>
      </c>
      <c r="L84" s="46">
        <v>0</v>
      </c>
      <c r="M84" s="46">
        <v>1</v>
      </c>
      <c r="N84" s="54"/>
      <c r="O84" s="54"/>
      <c r="P84" s="54"/>
      <c r="Q84" s="54"/>
      <c r="R84" s="54"/>
      <c r="S84" s="54"/>
    </row>
    <row r="85" s="36" customFormat="1" spans="2:19">
      <c r="B85" s="44" t="s">
        <v>216</v>
      </c>
      <c r="C85" s="45" t="str">
        <f>"击杀"&amp;MID(单位!C138,1,6)</f>
        <v>击杀</v>
      </c>
      <c r="D85" s="46" t="s">
        <v>36</v>
      </c>
      <c r="E85" s="46" t="s">
        <v>36</v>
      </c>
      <c r="F85" s="46" t="s">
        <v>36</v>
      </c>
      <c r="G85" s="46">
        <v>0</v>
      </c>
      <c r="H85" s="46">
        <v>0</v>
      </c>
      <c r="I85" s="46">
        <v>0</v>
      </c>
      <c r="J85" s="46">
        <v>0</v>
      </c>
      <c r="K85" s="46">
        <v>0</v>
      </c>
      <c r="L85" s="46">
        <v>0</v>
      </c>
      <c r="M85" s="46">
        <v>1</v>
      </c>
      <c r="N85" s="54"/>
      <c r="O85" s="54"/>
      <c r="P85" s="54"/>
      <c r="Q85" s="54"/>
      <c r="R85" s="54"/>
      <c r="S85" s="54"/>
    </row>
    <row r="86" s="36" customFormat="1" spans="2:19">
      <c r="B86" s="44" t="s">
        <v>216</v>
      </c>
      <c r="C86" s="45" t="str">
        <f>"击杀"&amp;MID(单位!C139,1,6)</f>
        <v>击杀</v>
      </c>
      <c r="D86" s="46" t="s">
        <v>36</v>
      </c>
      <c r="E86" s="46" t="s">
        <v>36</v>
      </c>
      <c r="F86" s="46" t="s">
        <v>36</v>
      </c>
      <c r="G86" s="46">
        <v>0</v>
      </c>
      <c r="H86" s="46">
        <v>0</v>
      </c>
      <c r="I86" s="46">
        <v>0</v>
      </c>
      <c r="J86" s="46">
        <v>0</v>
      </c>
      <c r="K86" s="46">
        <v>0</v>
      </c>
      <c r="L86" s="46">
        <v>0</v>
      </c>
      <c r="M86" s="46">
        <v>1</v>
      </c>
      <c r="N86" s="54"/>
      <c r="O86" s="54"/>
      <c r="P86" s="54"/>
      <c r="Q86" s="54"/>
      <c r="R86" s="54"/>
      <c r="S86" s="54"/>
    </row>
    <row r="87" s="36" customFormat="1" spans="2:19">
      <c r="B87" s="44" t="s">
        <v>216</v>
      </c>
      <c r="C87" s="45" t="str">
        <f>"击杀"&amp;MID(单位!C140,1,6)</f>
        <v>击杀</v>
      </c>
      <c r="D87" s="46" t="s">
        <v>36</v>
      </c>
      <c r="E87" s="46" t="s">
        <v>36</v>
      </c>
      <c r="F87" s="46" t="s">
        <v>36</v>
      </c>
      <c r="G87" s="46">
        <v>0</v>
      </c>
      <c r="H87" s="46">
        <v>0</v>
      </c>
      <c r="I87" s="46">
        <v>0</v>
      </c>
      <c r="J87" s="46">
        <v>0</v>
      </c>
      <c r="K87" s="46">
        <v>0</v>
      </c>
      <c r="L87" s="46">
        <v>0</v>
      </c>
      <c r="M87" s="46">
        <v>1</v>
      </c>
      <c r="N87" s="54"/>
      <c r="O87" s="54"/>
      <c r="P87" s="54"/>
      <c r="Q87" s="54"/>
      <c r="R87" s="54"/>
      <c r="S87" s="54"/>
    </row>
    <row r="88" s="36" customFormat="1" spans="2:19">
      <c r="B88" s="44" t="s">
        <v>216</v>
      </c>
      <c r="C88" s="45" t="str">
        <f>"击杀"&amp;MID(单位!C141,1,6)</f>
        <v>击杀</v>
      </c>
      <c r="D88" s="46" t="s">
        <v>36</v>
      </c>
      <c r="E88" s="46" t="s">
        <v>36</v>
      </c>
      <c r="F88" s="46" t="s">
        <v>36</v>
      </c>
      <c r="G88" s="46">
        <v>0</v>
      </c>
      <c r="H88" s="46">
        <v>0</v>
      </c>
      <c r="I88" s="46">
        <v>0</v>
      </c>
      <c r="J88" s="46">
        <v>0</v>
      </c>
      <c r="K88" s="46">
        <v>0</v>
      </c>
      <c r="L88" s="46">
        <v>0</v>
      </c>
      <c r="M88" s="46">
        <v>1</v>
      </c>
      <c r="N88" s="54"/>
      <c r="O88" s="54"/>
      <c r="P88" s="54"/>
      <c r="Q88" s="54"/>
      <c r="R88" s="54"/>
      <c r="S88" s="54"/>
    </row>
    <row r="89" s="36" customFormat="1" spans="2:19">
      <c r="B89" s="44" t="s">
        <v>216</v>
      </c>
      <c r="C89" s="45" t="str">
        <f>"击杀"&amp;MID(单位!C142,1,6)</f>
        <v>击杀</v>
      </c>
      <c r="D89" s="46" t="s">
        <v>36</v>
      </c>
      <c r="E89" s="46" t="s">
        <v>36</v>
      </c>
      <c r="F89" s="46" t="s">
        <v>36</v>
      </c>
      <c r="G89" s="46">
        <v>0</v>
      </c>
      <c r="H89" s="46">
        <v>0</v>
      </c>
      <c r="I89" s="46">
        <v>0</v>
      </c>
      <c r="J89" s="46">
        <v>0</v>
      </c>
      <c r="K89" s="46">
        <v>0</v>
      </c>
      <c r="L89" s="46">
        <v>0</v>
      </c>
      <c r="M89" s="46">
        <v>1</v>
      </c>
      <c r="N89" s="54"/>
      <c r="O89" s="54"/>
      <c r="P89" s="54"/>
      <c r="Q89" s="54"/>
      <c r="R89" s="54"/>
      <c r="S89" s="54"/>
    </row>
    <row r="90" s="36" customFormat="1" spans="2:19">
      <c r="B90" s="44" t="s">
        <v>216</v>
      </c>
      <c r="C90" s="45" t="str">
        <f>"击杀"&amp;MID(单位!C143,1,6)</f>
        <v>击杀</v>
      </c>
      <c r="D90" s="46" t="s">
        <v>36</v>
      </c>
      <c r="E90" s="46" t="s">
        <v>36</v>
      </c>
      <c r="F90" s="46" t="s">
        <v>36</v>
      </c>
      <c r="G90" s="46">
        <v>0</v>
      </c>
      <c r="H90" s="46">
        <v>0</v>
      </c>
      <c r="I90" s="46">
        <v>0</v>
      </c>
      <c r="J90" s="46">
        <v>0</v>
      </c>
      <c r="K90" s="46">
        <v>0</v>
      </c>
      <c r="L90" s="46">
        <v>0</v>
      </c>
      <c r="M90" s="46">
        <v>1</v>
      </c>
      <c r="N90" s="54"/>
      <c r="O90" s="54"/>
      <c r="P90" s="54"/>
      <c r="Q90" s="54"/>
      <c r="R90" s="54"/>
      <c r="S90" s="54"/>
    </row>
    <row r="91" s="36" customFormat="1" spans="2:19">
      <c r="B91" s="44" t="s">
        <v>216</v>
      </c>
      <c r="C91" s="45" t="str">
        <f>"击杀"&amp;MID(单位!C144,1,6)</f>
        <v>击杀</v>
      </c>
      <c r="D91" s="46" t="s">
        <v>36</v>
      </c>
      <c r="E91" s="46" t="s">
        <v>36</v>
      </c>
      <c r="F91" s="46" t="s">
        <v>36</v>
      </c>
      <c r="G91" s="46">
        <v>0</v>
      </c>
      <c r="H91" s="46">
        <v>0</v>
      </c>
      <c r="I91" s="46">
        <v>0</v>
      </c>
      <c r="J91" s="46">
        <v>0</v>
      </c>
      <c r="K91" s="46">
        <v>0</v>
      </c>
      <c r="L91" s="46">
        <v>0</v>
      </c>
      <c r="M91" s="46">
        <v>1</v>
      </c>
      <c r="N91" s="54"/>
      <c r="O91" s="54"/>
      <c r="P91" s="54"/>
      <c r="Q91" s="54"/>
      <c r="R91" s="54"/>
      <c r="S91" s="54"/>
    </row>
    <row r="92" s="36" customFormat="1" spans="2:19">
      <c r="B92" s="44" t="s">
        <v>216</v>
      </c>
      <c r="C92" s="45" t="str">
        <f>"击杀"&amp;MID(单位!C145,1,6)</f>
        <v>击杀</v>
      </c>
      <c r="D92" s="46" t="s">
        <v>36</v>
      </c>
      <c r="E92" s="46" t="s">
        <v>36</v>
      </c>
      <c r="F92" s="46" t="s">
        <v>36</v>
      </c>
      <c r="G92" s="46">
        <v>0</v>
      </c>
      <c r="H92" s="46">
        <v>0</v>
      </c>
      <c r="I92" s="46">
        <v>0</v>
      </c>
      <c r="J92" s="46">
        <v>0</v>
      </c>
      <c r="K92" s="46">
        <v>0</v>
      </c>
      <c r="L92" s="46">
        <v>0</v>
      </c>
      <c r="M92" s="46">
        <v>1</v>
      </c>
      <c r="N92" s="54"/>
      <c r="O92" s="54"/>
      <c r="P92" s="54"/>
      <c r="Q92" s="54"/>
      <c r="R92" s="54"/>
      <c r="S92" s="54"/>
    </row>
    <row r="93" s="36" customFormat="1" spans="2:19">
      <c r="B93" s="44" t="s">
        <v>216</v>
      </c>
      <c r="C93" s="45" t="str">
        <f>"击杀"&amp;MID(单位!C146,1,6)</f>
        <v>击杀</v>
      </c>
      <c r="D93" s="46" t="s">
        <v>36</v>
      </c>
      <c r="E93" s="46" t="s">
        <v>36</v>
      </c>
      <c r="F93" s="46" t="s">
        <v>36</v>
      </c>
      <c r="G93" s="46">
        <v>0</v>
      </c>
      <c r="H93" s="46">
        <v>0</v>
      </c>
      <c r="I93" s="46">
        <v>0</v>
      </c>
      <c r="J93" s="46">
        <v>0</v>
      </c>
      <c r="K93" s="46">
        <v>0</v>
      </c>
      <c r="L93" s="46">
        <v>0</v>
      </c>
      <c r="M93" s="46">
        <v>1</v>
      </c>
      <c r="N93" s="54"/>
      <c r="O93" s="54"/>
      <c r="P93" s="54"/>
      <c r="Q93" s="54"/>
      <c r="R93" s="54"/>
      <c r="S93" s="54"/>
    </row>
    <row r="94" s="36" customFormat="1" spans="2:19">
      <c r="B94" s="44" t="s">
        <v>216</v>
      </c>
      <c r="C94" s="45" t="str">
        <f>"击杀"&amp;MID(单位!C147,1,6)</f>
        <v>击杀</v>
      </c>
      <c r="D94" s="46" t="s">
        <v>36</v>
      </c>
      <c r="E94" s="46" t="s">
        <v>36</v>
      </c>
      <c r="F94" s="46" t="s">
        <v>36</v>
      </c>
      <c r="G94" s="46">
        <v>0</v>
      </c>
      <c r="H94" s="46">
        <v>0</v>
      </c>
      <c r="I94" s="46">
        <v>0</v>
      </c>
      <c r="J94" s="46">
        <v>0</v>
      </c>
      <c r="K94" s="46">
        <v>0</v>
      </c>
      <c r="L94" s="46">
        <v>0</v>
      </c>
      <c r="M94" s="46">
        <v>1</v>
      </c>
      <c r="N94" s="54"/>
      <c r="O94" s="54"/>
      <c r="P94" s="54"/>
      <c r="Q94" s="54"/>
      <c r="R94" s="54"/>
      <c r="S94" s="54"/>
    </row>
    <row r="95" s="36" customFormat="1" spans="2:19">
      <c r="B95" s="44"/>
      <c r="C95" s="45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54"/>
      <c r="O95" s="54"/>
      <c r="P95" s="54"/>
      <c r="Q95" s="54"/>
      <c r="R95" s="54"/>
      <c r="S95" s="54"/>
    </row>
    <row r="96" s="36" customFormat="1" spans="2:19">
      <c r="B96" s="44"/>
      <c r="C96" s="45"/>
      <c r="D96" s="46"/>
      <c r="E96" s="46"/>
      <c r="F96" s="46"/>
      <c r="G96" s="54"/>
      <c r="H96" s="54"/>
      <c r="I96" s="54"/>
      <c r="J96" s="54"/>
      <c r="K96" s="54"/>
      <c r="L96" s="54"/>
      <c r="M96" s="46"/>
      <c r="N96" s="54"/>
      <c r="O96" s="54"/>
      <c r="P96" s="54"/>
      <c r="Q96" s="54"/>
      <c r="R96" s="54"/>
      <c r="S96" s="54"/>
    </row>
    <row r="97" s="36" customFormat="1" spans="2:19">
      <c r="B97" s="44"/>
      <c r="C97" s="45"/>
      <c r="D97" s="55"/>
      <c r="E97" s="46"/>
      <c r="F97" s="54"/>
      <c r="G97" s="54"/>
      <c r="H97" s="54"/>
      <c r="I97" s="54"/>
      <c r="J97" s="54"/>
      <c r="K97" s="54"/>
      <c r="L97" s="54"/>
      <c r="M97" s="46"/>
      <c r="N97" s="54"/>
      <c r="O97" s="54"/>
      <c r="P97" s="54"/>
      <c r="Q97" s="54"/>
      <c r="R97" s="54"/>
      <c r="S97" s="54"/>
    </row>
    <row r="98" s="36" customFormat="1" spans="2:19">
      <c r="B98" s="44"/>
      <c r="C98" s="45"/>
      <c r="D98" s="55"/>
      <c r="E98" s="54"/>
      <c r="F98" s="54"/>
      <c r="G98" s="54"/>
      <c r="H98" s="54"/>
      <c r="I98" s="54"/>
      <c r="J98" s="54"/>
      <c r="K98" s="54"/>
      <c r="L98" s="54"/>
      <c r="M98" s="46"/>
      <c r="N98" s="54"/>
      <c r="O98" s="54"/>
      <c r="P98" s="54"/>
      <c r="Q98" s="54"/>
      <c r="R98" s="54"/>
      <c r="S98" s="54"/>
    </row>
    <row r="99" s="36" customFormat="1" spans="3:19">
      <c r="C99" s="56"/>
      <c r="D99" s="55"/>
      <c r="E99" s="54"/>
      <c r="F99" s="54"/>
      <c r="G99" s="54"/>
      <c r="H99" s="54"/>
      <c r="I99" s="54"/>
      <c r="J99" s="54"/>
      <c r="K99" s="54"/>
      <c r="L99" s="54"/>
      <c r="M99" s="46"/>
      <c r="N99" s="54"/>
      <c r="O99" s="54"/>
      <c r="P99" s="54"/>
      <c r="Q99" s="54"/>
      <c r="R99" s="54"/>
      <c r="S99" s="54"/>
    </row>
    <row r="100" s="36" customFormat="1" spans="3:19">
      <c r="C100" s="56"/>
      <c r="D100" s="55"/>
      <c r="E100" s="54"/>
      <c r="F100" s="54"/>
      <c r="G100" s="54"/>
      <c r="H100" s="54"/>
      <c r="I100" s="54"/>
      <c r="J100" s="54"/>
      <c r="K100" s="54"/>
      <c r="L100" s="54"/>
      <c r="M100" s="46"/>
      <c r="N100" s="54"/>
      <c r="O100" s="54"/>
      <c r="P100" s="54"/>
      <c r="Q100" s="54"/>
      <c r="R100" s="54"/>
      <c r="S100" s="54"/>
    </row>
    <row r="101" s="36" customFormat="1" spans="3:19">
      <c r="C101" s="56"/>
      <c r="D101" s="55"/>
      <c r="E101" s="54"/>
      <c r="F101" s="54"/>
      <c r="G101" s="54"/>
      <c r="H101" s="54"/>
      <c r="I101" s="54"/>
      <c r="J101" s="54"/>
      <c r="K101" s="54"/>
      <c r="L101" s="54"/>
      <c r="M101" s="46"/>
      <c r="N101" s="54"/>
      <c r="O101" s="54"/>
      <c r="P101" s="54"/>
      <c r="Q101" s="54"/>
      <c r="R101" s="54"/>
      <c r="S101" s="54"/>
    </row>
    <row r="102" s="36" customFormat="1" spans="3:19">
      <c r="C102" s="56"/>
      <c r="D102" s="55"/>
      <c r="E102" s="54"/>
      <c r="F102" s="54"/>
      <c r="G102" s="54"/>
      <c r="H102" s="54"/>
      <c r="I102" s="54"/>
      <c r="J102" s="54"/>
      <c r="K102" s="54"/>
      <c r="L102" s="54"/>
      <c r="M102" s="46"/>
      <c r="N102" s="54"/>
      <c r="O102" s="54"/>
      <c r="P102" s="54"/>
      <c r="Q102" s="54"/>
      <c r="R102" s="54"/>
      <c r="S102" s="54"/>
    </row>
    <row r="103" s="36" customFormat="1" ht="20.4" spans="3:19">
      <c r="C103" s="57"/>
      <c r="D103" s="57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</row>
    <row r="104" s="36" customFormat="1" ht="20.4" spans="3:19">
      <c r="C104" s="57"/>
      <c r="D104" s="57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</row>
    <row r="105" s="36" customFormat="1" ht="20.4" spans="3:19">
      <c r="C105" s="57"/>
      <c r="D105" s="57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</row>
    <row r="106" s="36" customFormat="1" ht="20.4" spans="3:19">
      <c r="C106" s="57"/>
      <c r="D106" s="57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</row>
    <row r="107" s="36" customFormat="1" ht="20.4" spans="3:19">
      <c r="C107" s="57"/>
      <c r="D107" s="57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</row>
    <row r="108" s="36" customFormat="1" ht="20.4" spans="3:19">
      <c r="C108" s="57"/>
      <c r="D108" s="57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</row>
    <row r="109" s="36" customFormat="1" ht="20.4" spans="3:19">
      <c r="C109" s="57"/>
      <c r="D109" s="57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</row>
    <row r="110" s="36" customFormat="1" ht="20.4" spans="3:19">
      <c r="C110" s="57"/>
      <c r="D110" s="57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</row>
    <row r="111" s="36" customFormat="1" ht="20.4" spans="3:19">
      <c r="C111" s="57"/>
      <c r="D111" s="57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</row>
    <row r="112" s="36" customFormat="1" ht="20.4" spans="3:19">
      <c r="C112" s="57"/>
      <c r="D112" s="57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</row>
    <row r="113" s="36" customFormat="1" ht="20.4" spans="3:19">
      <c r="C113" s="57"/>
      <c r="D113" s="58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</row>
    <row r="114" s="36" customFormat="1" ht="20.4" spans="3:19">
      <c r="C114" s="57"/>
      <c r="D114" s="58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</row>
    <row r="115" s="36" customFormat="1" ht="20.4" spans="3:19">
      <c r="C115" s="57"/>
      <c r="D115" s="58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</row>
    <row r="116" s="36" customFormat="1" ht="20.4" spans="3:19">
      <c r="C116" s="57"/>
      <c r="D116" s="58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</row>
    <row r="117" s="36" customFormat="1" ht="20.4" spans="3:19">
      <c r="C117" s="57"/>
      <c r="D117" s="58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</row>
    <row r="118" s="36" customFormat="1" ht="20.4" spans="3:19">
      <c r="C118" s="57"/>
      <c r="D118" s="59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</row>
    <row r="119" s="36" customFormat="1" ht="20.4" spans="3:19">
      <c r="C119" s="57"/>
      <c r="D119" s="59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</row>
    <row r="120" s="36" customFormat="1" ht="20.4" spans="3:19">
      <c r="C120" s="57"/>
      <c r="D120" s="59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</row>
    <row r="121" s="36" customFormat="1" ht="20.4" spans="3:19">
      <c r="C121" s="57"/>
      <c r="D121" s="59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</row>
    <row r="122" s="36" customFormat="1" ht="20.4" spans="3:19">
      <c r="C122" s="57"/>
      <c r="D122" s="59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</row>
    <row r="123" s="36" customFormat="1" ht="20.4" spans="3:19">
      <c r="C123" s="57"/>
      <c r="D123" s="59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</row>
    <row r="124" s="36" customFormat="1" ht="20.4" spans="3:19">
      <c r="C124" s="57"/>
      <c r="D124" s="59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</row>
    <row r="125" s="36" customFormat="1" ht="20.4" spans="3:19">
      <c r="C125" s="57"/>
      <c r="D125" s="59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</row>
    <row r="126" s="36" customFormat="1" ht="20.4" spans="3:19">
      <c r="C126" s="57"/>
      <c r="D126" s="59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</row>
    <row r="127" s="36" customFormat="1" ht="20.4" spans="3:19">
      <c r="C127" s="57"/>
      <c r="D127" s="59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</row>
    <row r="128" s="36" customFormat="1" ht="20.4" spans="3:19">
      <c r="C128" s="57"/>
      <c r="D128" s="59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</row>
    <row r="129" s="36" customFormat="1" ht="20.4" spans="3:19">
      <c r="C129" s="57"/>
      <c r="D129" s="59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</row>
    <row r="130" s="36" customFormat="1" ht="20.4" spans="3:19">
      <c r="C130" s="57"/>
      <c r="D130" s="59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</row>
    <row r="131" s="36" customFormat="1" ht="20.4" spans="3:19">
      <c r="C131" s="57"/>
      <c r="D131" s="59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</row>
    <row r="132" s="36" customFormat="1" ht="20.4" spans="3:19">
      <c r="C132" s="57"/>
      <c r="D132" s="59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</row>
    <row r="133" s="36" customFormat="1" ht="20.4" spans="3:19">
      <c r="C133" s="57"/>
      <c r="D133" s="59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</row>
    <row r="134" s="36" customFormat="1" ht="20.4" spans="3:19">
      <c r="C134" s="57"/>
      <c r="D134" s="59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</row>
    <row r="135" s="36" customFormat="1" spans="3:19"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</row>
    <row r="136" s="36" customFormat="1" spans="3:19">
      <c r="C136" s="55"/>
      <c r="D136" s="55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</row>
    <row r="137" s="36" customFormat="1" spans="3:19">
      <c r="C137" s="55"/>
      <c r="D137" s="55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</row>
    <row r="138" s="36" customFormat="1" spans="3:19">
      <c r="C138" s="55"/>
      <c r="D138" s="55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</row>
    <row r="139" s="36" customFormat="1" spans="3:19">
      <c r="C139" s="55"/>
      <c r="D139" s="55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</row>
    <row r="140" s="36" customFormat="1" spans="3:19">
      <c r="C140" s="55"/>
      <c r="D140" s="55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</row>
    <row r="141" s="36" customFormat="1" spans="3:19">
      <c r="C141" s="55"/>
      <c r="D141" s="55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</row>
    <row r="142" s="36" customFormat="1" spans="3:19">
      <c r="C142" s="54"/>
      <c r="D142" s="55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</row>
    <row r="143" s="36" customFormat="1" spans="3:19">
      <c r="C143" s="54"/>
      <c r="D143" s="55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</row>
    <row r="144" s="36" customFormat="1" spans="3:19">
      <c r="C144" s="54"/>
      <c r="D144" s="55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</row>
    <row r="145" s="36" customFormat="1" spans="3:19">
      <c r="C145" s="54"/>
      <c r="D145" s="55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</row>
    <row r="146" s="36" customFormat="1" spans="3:19">
      <c r="C146" s="54"/>
      <c r="D146" s="55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</row>
    <row r="147" s="35" customFormat="1" spans="2:19">
      <c r="B147" s="61"/>
      <c r="C147" s="48"/>
      <c r="D147" s="62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60"/>
    </row>
    <row r="148" s="35" customFormat="1" spans="2:19">
      <c r="B148" s="61"/>
      <c r="C148" s="48"/>
      <c r="D148" s="62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60"/>
    </row>
    <row r="149" s="35" customFormat="1" spans="2:19">
      <c r="B149" s="61"/>
      <c r="C149" s="48"/>
      <c r="D149" s="62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60"/>
    </row>
    <row r="150" spans="2:19">
      <c r="B150" s="61"/>
      <c r="C150" s="48"/>
      <c r="D150" s="62"/>
      <c r="E150" s="48"/>
      <c r="F150" s="62"/>
      <c r="G150" s="62"/>
      <c r="H150" s="62"/>
      <c r="I150" s="62"/>
      <c r="J150" s="62"/>
      <c r="K150" s="62"/>
      <c r="L150" s="48"/>
      <c r="M150" s="49"/>
      <c r="N150" s="49"/>
      <c r="O150" s="49"/>
      <c r="P150" s="49"/>
      <c r="Q150" s="49"/>
      <c r="R150" s="49"/>
      <c r="S150" s="52"/>
    </row>
  </sheetData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 sizeWithCells="1">
                  <from>
                    <xdr:col>0</xdr:col>
                    <xdr:colOff>28575</xdr:colOff>
                    <xdr:row>13</xdr:row>
                    <xdr:rowOff>66675</xdr:rowOff>
                  </from>
                  <to>
                    <xdr:col>0</xdr:col>
                    <xdr:colOff>1362075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N421"/>
  <sheetViews>
    <sheetView tabSelected="1" workbookViewId="0">
      <selection activeCell="E19" sqref="E19"/>
    </sheetView>
  </sheetViews>
  <sheetFormatPr defaultColWidth="10.5" defaultRowHeight="16.15" customHeight="1"/>
  <cols>
    <col min="1" max="1" width="18.5" style="17" customWidth="1"/>
    <col min="3" max="3" width="14" style="17" customWidth="1"/>
    <col min="4" max="4" width="29.1296296296296" style="17" customWidth="1"/>
    <col min="5" max="5" width="135.62962962963" style="17" customWidth="1"/>
    <col min="6" max="6" width="49.75" style="18" customWidth="1"/>
    <col min="7" max="7" width="30.75" style="17" customWidth="1"/>
    <col min="8" max="8" width="48.8796296296296" style="17" customWidth="1"/>
    <col min="9" max="16384" width="10.5" style="17"/>
  </cols>
  <sheetData>
    <row r="1" s="14" customFormat="1" customHeight="1" spans="1:38">
      <c r="A1" s="19">
        <v>36</v>
      </c>
      <c r="B1" s="20" t="s">
        <v>1</v>
      </c>
      <c r="C1" s="14" t="s">
        <v>7</v>
      </c>
      <c r="D1" s="21" t="s">
        <v>2</v>
      </c>
      <c r="E1" s="14" t="s">
        <v>217</v>
      </c>
      <c r="F1" s="14" t="s">
        <v>218</v>
      </c>
      <c r="G1" s="14" t="s">
        <v>219</v>
      </c>
      <c r="H1" s="14" t="s">
        <v>220</v>
      </c>
      <c r="I1" s="14" t="s">
        <v>221</v>
      </c>
      <c r="J1" s="14" t="s">
        <v>12</v>
      </c>
      <c r="K1" s="14" t="s">
        <v>222</v>
      </c>
      <c r="L1" s="14" t="s">
        <v>223</v>
      </c>
      <c r="M1" s="14" t="s">
        <v>224</v>
      </c>
      <c r="N1" s="14" t="s">
        <v>225</v>
      </c>
      <c r="O1" s="14" t="s">
        <v>226</v>
      </c>
      <c r="P1" s="14" t="s">
        <v>227</v>
      </c>
      <c r="Q1" s="14" t="s">
        <v>228</v>
      </c>
      <c r="R1" s="14" t="s">
        <v>229</v>
      </c>
      <c r="S1" s="14" t="s">
        <v>230</v>
      </c>
      <c r="T1" s="14" t="s">
        <v>231</v>
      </c>
      <c r="U1" s="14" t="s">
        <v>232</v>
      </c>
      <c r="V1" s="14" t="s">
        <v>233</v>
      </c>
      <c r="W1" s="14" t="s">
        <v>234</v>
      </c>
      <c r="X1" s="14" t="s">
        <v>235</v>
      </c>
      <c r="Y1" s="14" t="s">
        <v>236</v>
      </c>
      <c r="Z1" s="14" t="s">
        <v>237</v>
      </c>
      <c r="AA1" s="14" t="s">
        <v>238</v>
      </c>
      <c r="AB1" s="14" t="s">
        <v>239</v>
      </c>
      <c r="AC1" s="14" t="s">
        <v>240</v>
      </c>
      <c r="AD1" s="14" t="s">
        <v>241</v>
      </c>
      <c r="AE1" s="14" t="s">
        <v>242</v>
      </c>
      <c r="AF1" s="14" t="s">
        <v>243</v>
      </c>
      <c r="AG1" s="14" t="s">
        <v>244</v>
      </c>
      <c r="AH1" s="14" t="s">
        <v>245</v>
      </c>
      <c r="AI1" s="14" t="s">
        <v>246</v>
      </c>
      <c r="AJ1" s="14" t="s">
        <v>247</v>
      </c>
      <c r="AK1" s="14" t="s">
        <v>248</v>
      </c>
      <c r="AL1" s="14" t="s">
        <v>249</v>
      </c>
    </row>
    <row r="2" s="14" customFormat="1" customHeight="1" spans="1:38">
      <c r="A2" s="22"/>
      <c r="B2" s="23" t="s">
        <v>250</v>
      </c>
      <c r="C2" s="14" t="s">
        <v>24</v>
      </c>
      <c r="D2" s="21" t="s">
        <v>19</v>
      </c>
      <c r="E2" s="14" t="s">
        <v>251</v>
      </c>
      <c r="F2" s="14" t="s">
        <v>49</v>
      </c>
      <c r="G2" s="14" t="s">
        <v>50</v>
      </c>
      <c r="H2" s="14" t="s">
        <v>252</v>
      </c>
      <c r="I2" s="14" t="s">
        <v>253</v>
      </c>
      <c r="J2" s="14" t="s">
        <v>32</v>
      </c>
      <c r="K2" s="14" t="s">
        <v>254</v>
      </c>
      <c r="L2" s="14" t="s">
        <v>52</v>
      </c>
      <c r="M2" s="14" t="s">
        <v>52</v>
      </c>
      <c r="N2" s="14" t="s">
        <v>255</v>
      </c>
      <c r="O2" s="14" t="s">
        <v>256</v>
      </c>
      <c r="P2" s="14" t="s">
        <v>257</v>
      </c>
      <c r="Q2" s="14" t="s">
        <v>258</v>
      </c>
      <c r="R2" s="14" t="s">
        <v>259</v>
      </c>
      <c r="S2" s="14" t="s">
        <v>260</v>
      </c>
      <c r="T2" s="14" t="s">
        <v>261</v>
      </c>
      <c r="U2" s="14" t="s">
        <v>22</v>
      </c>
      <c r="V2" s="14" t="s">
        <v>262</v>
      </c>
      <c r="W2" s="14" t="s">
        <v>263</v>
      </c>
      <c r="X2" s="14" t="s">
        <v>264</v>
      </c>
      <c r="Y2" s="14" t="s">
        <v>265</v>
      </c>
      <c r="Z2" s="14" t="s">
        <v>266</v>
      </c>
      <c r="AA2" s="14" t="s">
        <v>267</v>
      </c>
      <c r="AB2" s="14" t="s">
        <v>268</v>
      </c>
      <c r="AC2" s="14" t="s">
        <v>269</v>
      </c>
      <c r="AD2" s="14" t="s">
        <v>270</v>
      </c>
      <c r="AE2" s="14" t="s">
        <v>271</v>
      </c>
      <c r="AF2" s="14" t="s">
        <v>272</v>
      </c>
      <c r="AG2" s="14" t="s">
        <v>273</v>
      </c>
      <c r="AH2" s="14" t="s">
        <v>274</v>
      </c>
      <c r="AI2" s="14" t="s">
        <v>275</v>
      </c>
      <c r="AJ2" s="14" t="s">
        <v>276</v>
      </c>
      <c r="AK2" s="14" t="s">
        <v>277</v>
      </c>
      <c r="AL2" s="14" t="s">
        <v>278</v>
      </c>
    </row>
    <row r="3" customHeight="1" spans="1:40">
      <c r="A3" s="24"/>
      <c r="B3" s="25" t="s">
        <v>279</v>
      </c>
      <c r="C3" s="25" t="s">
        <v>36</v>
      </c>
      <c r="D3" s="26" t="str">
        <f>辅助表格!A2</f>
        <v>简陋武器LV1</v>
      </c>
      <c r="E3" s="27" t="str">
        <f>"|cffff9900属性|r|n"&amp;"|cff00ccff〇|r"&amp;辅助表格!D2&amp;"|n"&amp;"|cff00ccff〇|r"&amp;辅助表格!C2</f>
        <v>|cffff9900属性|r|n|cff00ccff〇|r10%概率3倍范围伤害|n|cff00ccff〇|r攻击力+20</v>
      </c>
      <c r="F3" s="14" t="str">
        <f>D3</f>
        <v>简陋武器LV1</v>
      </c>
      <c r="G3" s="20" t="str">
        <f>E3</f>
        <v>|cffff9900属性|r|n|cff00ccff〇|r10%概率3倍范围伤害|n|cff00ccff〇|r攻击力+20</v>
      </c>
      <c r="H3" s="14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>
        <v>100</v>
      </c>
      <c r="U3" s="25"/>
      <c r="V3" s="28"/>
      <c r="W3" s="25"/>
      <c r="X3" s="25"/>
      <c r="Y3" s="25">
        <v>1</v>
      </c>
      <c r="Z3" s="25"/>
      <c r="AA3" s="25"/>
      <c r="AB3" s="25"/>
      <c r="AC3" s="25"/>
      <c r="AD3" s="25"/>
      <c r="AE3" s="25"/>
      <c r="AF3" s="25"/>
      <c r="AG3" s="25"/>
      <c r="AH3" s="25">
        <v>0</v>
      </c>
      <c r="AI3" s="25"/>
      <c r="AJ3" s="25"/>
      <c r="AK3" s="25"/>
      <c r="AL3" s="25"/>
      <c r="AM3" s="25"/>
      <c r="AN3" s="25"/>
    </row>
    <row r="4" customHeight="1" spans="1:40">
      <c r="A4" s="24"/>
      <c r="B4" s="25" t="s">
        <v>279</v>
      </c>
      <c r="C4" s="25" t="s">
        <v>36</v>
      </c>
      <c r="D4" s="26" t="str">
        <f>辅助表格!A3</f>
        <v>简陋武器LV2</v>
      </c>
      <c r="E4" s="27" t="str">
        <f>"|cffff9900属性|r|n"&amp;"|cff00ccff〇|r"&amp;辅助表格!D3&amp;"|n"&amp;"|cff00ccff〇|r"&amp;辅助表格!C3</f>
        <v>|cffff9900属性|r|n|cff00ccff〇|r10%概率3倍范围伤害|n|cff00ccff〇|r攻击力+25</v>
      </c>
      <c r="F4" s="14" t="str">
        <f t="shared" ref="F4:F66" si="0">D4</f>
        <v>简陋武器LV2</v>
      </c>
      <c r="G4" s="20" t="str">
        <f t="shared" ref="G4:G66" si="1">E4</f>
        <v>|cffff9900属性|r|n|cff00ccff〇|r10%概率3倍范围伤害|n|cff00ccff〇|r攻击力+25</v>
      </c>
      <c r="H4" s="20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>
        <v>100</v>
      </c>
      <c r="U4" s="25"/>
      <c r="V4" s="28"/>
      <c r="W4" s="25"/>
      <c r="X4" s="25"/>
      <c r="Y4" s="25">
        <v>1</v>
      </c>
      <c r="Z4" s="25"/>
      <c r="AA4" s="25"/>
      <c r="AB4" s="25"/>
      <c r="AC4" s="25"/>
      <c r="AD4" s="25"/>
      <c r="AE4" s="25"/>
      <c r="AF4" s="25"/>
      <c r="AG4" s="25"/>
      <c r="AH4" s="25">
        <v>0</v>
      </c>
      <c r="AI4" s="25"/>
      <c r="AJ4" s="25"/>
      <c r="AK4" s="25"/>
      <c r="AL4" s="25"/>
      <c r="AM4" s="25"/>
      <c r="AN4" s="25"/>
    </row>
    <row r="5" customHeight="1" spans="1:40">
      <c r="A5" s="24"/>
      <c r="B5" s="25" t="s">
        <v>279</v>
      </c>
      <c r="C5" s="25" t="s">
        <v>36</v>
      </c>
      <c r="D5" s="26" t="str">
        <f>辅助表格!A4</f>
        <v>简陋武器LV3</v>
      </c>
      <c r="E5" s="27" t="str">
        <f>"|cffff9900属性|r|n"&amp;"|cff00ccff〇|r"&amp;辅助表格!D4&amp;"|n"&amp;"|cff00ccff〇|r"&amp;辅助表格!C4</f>
        <v>|cffff9900属性|r|n|cff00ccff〇|r10%概率3倍范围伤害|n|cff00ccff〇|r攻击力+30</v>
      </c>
      <c r="F5" s="14" t="str">
        <f t="shared" si="0"/>
        <v>简陋武器LV3</v>
      </c>
      <c r="G5" s="20" t="str">
        <f t="shared" si="1"/>
        <v>|cffff9900属性|r|n|cff00ccff〇|r10%概率3倍范围伤害|n|cff00ccff〇|r攻击力+30</v>
      </c>
      <c r="H5" s="14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>
        <v>100</v>
      </c>
      <c r="U5" s="25"/>
      <c r="V5" s="28"/>
      <c r="W5" s="25"/>
      <c r="X5" s="25"/>
      <c r="Y5" s="25">
        <v>1</v>
      </c>
      <c r="Z5" s="25"/>
      <c r="AA5" s="25"/>
      <c r="AB5" s="25"/>
      <c r="AC5" s="25"/>
      <c r="AD5" s="25"/>
      <c r="AE5" s="25"/>
      <c r="AF5" s="25"/>
      <c r="AG5" s="25"/>
      <c r="AH5" s="25">
        <v>0</v>
      </c>
      <c r="AI5" s="25"/>
      <c r="AJ5" s="25"/>
      <c r="AK5" s="25"/>
      <c r="AL5" s="25"/>
      <c r="AM5" s="25"/>
      <c r="AN5" s="25"/>
    </row>
    <row r="6" customHeight="1" spans="1:40">
      <c r="A6" s="24"/>
      <c r="B6" s="25" t="s">
        <v>279</v>
      </c>
      <c r="C6" s="25" t="s">
        <v>36</v>
      </c>
      <c r="D6" s="26" t="str">
        <f>辅助表格!A5</f>
        <v>简陋武器LV4</v>
      </c>
      <c r="E6" s="27" t="str">
        <f>"|cffff9900属性|r|n"&amp;"|cff00ccff〇|r"&amp;辅助表格!D5&amp;"|n"&amp;"|cff00ccff〇|r"&amp;辅助表格!C5</f>
        <v>|cffff9900属性|r|n|cff00ccff〇|r10%概率3倍范围伤害|n|cff00ccff〇|r攻击力+35</v>
      </c>
      <c r="F6" s="14" t="str">
        <f t="shared" si="0"/>
        <v>简陋武器LV4</v>
      </c>
      <c r="G6" s="20" t="str">
        <f t="shared" si="1"/>
        <v>|cffff9900属性|r|n|cff00ccff〇|r10%概率3倍范围伤害|n|cff00ccff〇|r攻击力+35</v>
      </c>
      <c r="H6" s="14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>
        <v>100</v>
      </c>
      <c r="U6" s="25"/>
      <c r="V6" s="28"/>
      <c r="W6" s="25"/>
      <c r="X6" s="25"/>
      <c r="Y6" s="25">
        <v>1</v>
      </c>
      <c r="Z6" s="25"/>
      <c r="AA6" s="25"/>
      <c r="AB6" s="25"/>
      <c r="AC6" s="25"/>
      <c r="AD6" s="25"/>
      <c r="AE6" s="25"/>
      <c r="AF6" s="25"/>
      <c r="AG6" s="25"/>
      <c r="AH6" s="25">
        <v>0</v>
      </c>
      <c r="AI6" s="25"/>
      <c r="AJ6" s="25"/>
      <c r="AK6" s="25"/>
      <c r="AL6" s="25"/>
      <c r="AM6" s="25"/>
      <c r="AN6" s="25"/>
    </row>
    <row r="7" customHeight="1" spans="1:40">
      <c r="A7" s="24"/>
      <c r="B7" s="25" t="s">
        <v>279</v>
      </c>
      <c r="C7" s="25" t="s">
        <v>36</v>
      </c>
      <c r="D7" s="26" t="str">
        <f>辅助表格!A6</f>
        <v>简陋武器LV5</v>
      </c>
      <c r="E7" s="27" t="str">
        <f>"|cffff9900属性|r|n"&amp;"|cff00ccff〇|r"&amp;辅助表格!D6&amp;"|n"&amp;"|cff00ccff〇|r"&amp;辅助表格!C6</f>
        <v>|cffff9900属性|r|n|cff00ccff〇|r10%概率3倍范围伤害|n|cff00ccff〇|r攻击力+40</v>
      </c>
      <c r="F7" s="14" t="str">
        <f t="shared" si="0"/>
        <v>简陋武器LV5</v>
      </c>
      <c r="G7" s="20" t="str">
        <f t="shared" si="1"/>
        <v>|cffff9900属性|r|n|cff00ccff〇|r10%概率3倍范围伤害|n|cff00ccff〇|r攻击力+40</v>
      </c>
      <c r="H7" s="14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>
        <v>100</v>
      </c>
      <c r="U7" s="25"/>
      <c r="V7" s="28"/>
      <c r="W7" s="25"/>
      <c r="X7" s="25"/>
      <c r="Y7" s="25">
        <v>1</v>
      </c>
      <c r="Z7" s="25"/>
      <c r="AA7" s="25"/>
      <c r="AB7" s="25"/>
      <c r="AC7" s="25"/>
      <c r="AD7" s="25"/>
      <c r="AE7" s="25"/>
      <c r="AF7" s="25"/>
      <c r="AG7" s="25"/>
      <c r="AH7" s="25">
        <v>0</v>
      </c>
      <c r="AI7" s="25"/>
      <c r="AJ7" s="25"/>
      <c r="AK7" s="25"/>
      <c r="AL7" s="25"/>
      <c r="AM7" s="25"/>
      <c r="AN7" s="25"/>
    </row>
    <row r="8" customHeight="1" spans="1:40">
      <c r="A8" s="24"/>
      <c r="B8" s="25" t="s">
        <v>279</v>
      </c>
      <c r="C8" s="25" t="s">
        <v>36</v>
      </c>
      <c r="D8" s="25" t="str">
        <f>"|cff00ccff"&amp;辅助表格!A7&amp;"|r"</f>
        <v>|cff00ccff普通武器LV1|r</v>
      </c>
      <c r="E8" s="27" t="str">
        <f>"|cffff9900属性|r|n"&amp;"|cff00ccff〇|r"&amp;辅助表格!D7&amp;"|n"&amp;"|cff00ccff〇|r"&amp;辅助表格!F7&amp;"|n"&amp;"|cff00ccff〇|r"&amp;辅助表格!C7</f>
        <v>|cffff9900属性|r|n|cff00ccff〇|r10%概率3倍范围伤害|n|cff00ccff〇|r攻速+10%|n|cff00ccff〇|r攻击力+60</v>
      </c>
      <c r="F8" s="14" t="str">
        <f t="shared" si="0"/>
        <v>|cff00ccff普通武器LV1|r</v>
      </c>
      <c r="G8" s="20" t="str">
        <f t="shared" si="1"/>
        <v>|cffff9900属性|r|n|cff00ccff〇|r10%概率3倍范围伤害|n|cff00ccff〇|r攻速+10%|n|cff00ccff〇|r攻击力+60</v>
      </c>
      <c r="H8" s="14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>
        <v>100</v>
      </c>
      <c r="U8" s="25"/>
      <c r="V8" s="28"/>
      <c r="W8" s="25"/>
      <c r="X8" s="25"/>
      <c r="Y8" s="25">
        <v>1</v>
      </c>
      <c r="Z8" s="25"/>
      <c r="AA8" s="25"/>
      <c r="AB8" s="25"/>
      <c r="AC8" s="25"/>
      <c r="AD8" s="25"/>
      <c r="AE8" s="25"/>
      <c r="AF8" s="25"/>
      <c r="AG8" s="25"/>
      <c r="AH8" s="25">
        <v>0</v>
      </c>
      <c r="AI8" s="25"/>
      <c r="AJ8" s="25"/>
      <c r="AK8" s="25"/>
      <c r="AL8" s="25"/>
      <c r="AM8" s="25"/>
      <c r="AN8" s="25"/>
    </row>
    <row r="9" customHeight="1" spans="1:40">
      <c r="A9" s="24"/>
      <c r="B9" s="25" t="s">
        <v>279</v>
      </c>
      <c r="C9" s="25" t="s">
        <v>36</v>
      </c>
      <c r="D9" s="25" t="str">
        <f>"|cff00ccff"&amp;辅助表格!A8&amp;"|r"</f>
        <v>|cff00ccff普通武器LV2|r</v>
      </c>
      <c r="E9" s="27" t="str">
        <f>"|cffff9900属性|r|n"&amp;"|cff00ccff〇|r"&amp;辅助表格!D8&amp;"|n"&amp;"|cff00ccff〇|r"&amp;辅助表格!F8&amp;"|n"&amp;"|cff00ccff〇|r"&amp;辅助表格!C8</f>
        <v>|cffff9900属性|r|n|cff00ccff〇|r10%概率3倍范围伤害|n|cff00ccff〇|r攻速+15%|n|cff00ccff〇|r攻击力+75</v>
      </c>
      <c r="F9" s="14" t="str">
        <f t="shared" si="0"/>
        <v>|cff00ccff普通武器LV2|r</v>
      </c>
      <c r="G9" s="20" t="str">
        <f t="shared" si="1"/>
        <v>|cffff9900属性|r|n|cff00ccff〇|r10%概率3倍范围伤害|n|cff00ccff〇|r攻速+15%|n|cff00ccff〇|r攻击力+75</v>
      </c>
      <c r="H9" s="20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>
        <v>100</v>
      </c>
      <c r="U9" s="25"/>
      <c r="V9" s="28"/>
      <c r="W9" s="25"/>
      <c r="X9" s="25"/>
      <c r="Y9" s="25">
        <v>1</v>
      </c>
      <c r="Z9" s="25"/>
      <c r="AA9" s="25"/>
      <c r="AB9" s="25"/>
      <c r="AC9" s="25"/>
      <c r="AD9" s="25"/>
      <c r="AE9" s="25"/>
      <c r="AF9" s="25"/>
      <c r="AG9" s="25"/>
      <c r="AH9" s="25">
        <v>0</v>
      </c>
      <c r="AI9" s="25"/>
      <c r="AJ9" s="25"/>
      <c r="AK9" s="25"/>
      <c r="AL9" s="25"/>
      <c r="AM9" s="25"/>
      <c r="AN9" s="25"/>
    </row>
    <row r="10" customHeight="1" spans="1:40">
      <c r="A10" s="24"/>
      <c r="B10" s="25" t="s">
        <v>279</v>
      </c>
      <c r="C10" s="25" t="s">
        <v>36</v>
      </c>
      <c r="D10" s="25" t="str">
        <f>"|cff00ccff"&amp;辅助表格!A9&amp;"|r"</f>
        <v>|cff00ccff普通武器LV3|r</v>
      </c>
      <c r="E10" s="27" t="str">
        <f>"|cffff9900属性|r|n"&amp;"|cff00ccff〇|r"&amp;辅助表格!D9&amp;"|n"&amp;"|cff00ccff〇|r"&amp;辅助表格!F9&amp;"|n"&amp;"|cff00ccff〇|r"&amp;辅助表格!C9</f>
        <v>|cffff9900属性|r|n|cff00ccff〇|r10%概率3倍范围伤害|n|cff00ccff〇|r攻速+20%|n|cff00ccff〇|r攻击力+90</v>
      </c>
      <c r="F10" s="14" t="str">
        <f t="shared" si="0"/>
        <v>|cff00ccff普通武器LV3|r</v>
      </c>
      <c r="G10" s="20" t="str">
        <f t="shared" si="1"/>
        <v>|cffff9900属性|r|n|cff00ccff〇|r10%概率3倍范围伤害|n|cff00ccff〇|r攻速+20%|n|cff00ccff〇|r攻击力+90</v>
      </c>
      <c r="H10" s="14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>
        <v>100</v>
      </c>
      <c r="U10" s="25"/>
      <c r="V10" s="28"/>
      <c r="W10" s="25"/>
      <c r="X10" s="25"/>
      <c r="Y10" s="25">
        <v>1</v>
      </c>
      <c r="Z10" s="25"/>
      <c r="AA10" s="25"/>
      <c r="AB10" s="25"/>
      <c r="AC10" s="25"/>
      <c r="AD10" s="25"/>
      <c r="AE10" s="25"/>
      <c r="AF10" s="25"/>
      <c r="AG10" s="25"/>
      <c r="AH10" s="25">
        <v>0</v>
      </c>
      <c r="AI10" s="25"/>
      <c r="AJ10" s="25"/>
      <c r="AK10" s="25"/>
      <c r="AL10" s="25"/>
      <c r="AM10" s="25"/>
      <c r="AN10" s="25"/>
    </row>
    <row r="11" customHeight="1" spans="1:40">
      <c r="A11" s="24"/>
      <c r="B11" s="25" t="s">
        <v>279</v>
      </c>
      <c r="C11" s="25" t="s">
        <v>36</v>
      </c>
      <c r="D11" s="25" t="str">
        <f>"|cff00ccff"&amp;辅助表格!A10&amp;"|r"</f>
        <v>|cff00ccff普通武器LV4|r</v>
      </c>
      <c r="E11" s="27" t="str">
        <f>"|cffff9900属性|r|n"&amp;"|cff00ccff〇|r"&amp;辅助表格!D10&amp;"|n"&amp;"|cff00ccff〇|r"&amp;辅助表格!F10&amp;"|n"&amp;"|cff00ccff〇|r"&amp;辅助表格!C10</f>
        <v>|cffff9900属性|r|n|cff00ccff〇|r10%概率3倍范围伤害|n|cff00ccff〇|r攻速+25%|n|cff00ccff〇|r攻击力+105</v>
      </c>
      <c r="F11" s="14" t="str">
        <f t="shared" si="0"/>
        <v>|cff00ccff普通武器LV4|r</v>
      </c>
      <c r="G11" s="20" t="str">
        <f t="shared" si="1"/>
        <v>|cffff9900属性|r|n|cff00ccff〇|r10%概率3倍范围伤害|n|cff00ccff〇|r攻速+25%|n|cff00ccff〇|r攻击力+105</v>
      </c>
      <c r="H11" s="14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>
        <v>100</v>
      </c>
      <c r="U11" s="25"/>
      <c r="V11" s="28"/>
      <c r="W11" s="25"/>
      <c r="X11" s="25"/>
      <c r="Y11" s="25">
        <v>1</v>
      </c>
      <c r="Z11" s="25"/>
      <c r="AA11" s="25"/>
      <c r="AB11" s="25"/>
      <c r="AC11" s="25"/>
      <c r="AD11" s="25"/>
      <c r="AE11" s="25"/>
      <c r="AF11" s="25"/>
      <c r="AG11" s="25"/>
      <c r="AH11" s="25">
        <v>0</v>
      </c>
      <c r="AI11" s="25"/>
      <c r="AJ11" s="25"/>
      <c r="AK11" s="25"/>
      <c r="AL11" s="25"/>
      <c r="AM11" s="25"/>
      <c r="AN11" s="25"/>
    </row>
    <row r="12" customHeight="1" spans="1:40">
      <c r="A12" s="24"/>
      <c r="B12" s="25" t="s">
        <v>279</v>
      </c>
      <c r="C12" s="25" t="s">
        <v>36</v>
      </c>
      <c r="D12" s="25" t="str">
        <f>"|cff00ccff"&amp;辅助表格!A11&amp;"|r"</f>
        <v>|cff00ccff普通武器LV5|r</v>
      </c>
      <c r="E12" s="27" t="str">
        <f>"|cffff9900属性|r|n"&amp;"|cff00ccff〇|r"&amp;辅助表格!D11&amp;"|n"&amp;"|cff00ccff〇|r"&amp;辅助表格!F11&amp;"|n"&amp;"|cff00ccff〇|r"&amp;辅助表格!C11</f>
        <v>|cffff9900属性|r|n|cff00ccff〇|r10%概率3倍范围伤害|n|cff00ccff〇|r攻速+30%|n|cff00ccff〇|r攻击力+120</v>
      </c>
      <c r="F12" s="14" t="str">
        <f t="shared" si="0"/>
        <v>|cff00ccff普通武器LV5|r</v>
      </c>
      <c r="G12" s="20" t="str">
        <f t="shared" si="1"/>
        <v>|cffff9900属性|r|n|cff00ccff〇|r10%概率3倍范围伤害|n|cff00ccff〇|r攻速+30%|n|cff00ccff〇|r攻击力+120</v>
      </c>
      <c r="H12" s="14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>
        <v>100</v>
      </c>
      <c r="U12" s="25"/>
      <c r="V12" s="28"/>
      <c r="W12" s="25"/>
      <c r="X12" s="25"/>
      <c r="Y12" s="25">
        <v>1</v>
      </c>
      <c r="Z12" s="25"/>
      <c r="AA12" s="25"/>
      <c r="AB12" s="25"/>
      <c r="AC12" s="25"/>
      <c r="AD12" s="25"/>
      <c r="AE12" s="25"/>
      <c r="AF12" s="25"/>
      <c r="AG12" s="25"/>
      <c r="AH12" s="25">
        <v>0</v>
      </c>
      <c r="AI12" s="25"/>
      <c r="AJ12" s="25"/>
      <c r="AK12" s="25"/>
      <c r="AL12" s="25"/>
      <c r="AM12" s="25"/>
      <c r="AN12" s="25"/>
    </row>
    <row r="13" customHeight="1" spans="2:40">
      <c r="B13" s="25" t="s">
        <v>279</v>
      </c>
      <c r="C13" s="25" t="s">
        <v>36</v>
      </c>
      <c r="D13" s="25" t="str">
        <f>"|cffff00ff"&amp;辅助表格!A12&amp;"|r"</f>
        <v>|cffff00ff精良武器LV1|r</v>
      </c>
      <c r="E13" s="27" t="str">
        <f>"|cffff9900属性|r|n"&amp;"|cff00ccff〇|r"&amp;辅助表格!D12&amp;"|n"&amp;"|cff00ccff〇|r"&amp;辅助表格!F12&amp;"|n"&amp;"|cff00ccff〇|r"&amp;辅助表格!G12&amp;"|n"&amp;"|cff00ccff〇|r"&amp;辅助表格!C12</f>
        <v>|cffff9900属性|r|n|cff00ccff〇|r10%概率3倍范围伤害|n|cff00ccff〇|r攻速+35%|n|cff00ccff〇|r暴击率+5%|n|cff00ccff〇|r攻击力+180</v>
      </c>
      <c r="F13" s="14" t="str">
        <f t="shared" si="0"/>
        <v>|cffff00ff精良武器LV1|r</v>
      </c>
      <c r="G13" s="20" t="str">
        <f t="shared" si="1"/>
        <v>|cffff9900属性|r|n|cff00ccff〇|r10%概率3倍范围伤害|n|cff00ccff〇|r攻速+35%|n|cff00ccff〇|r暴击率+5%|n|cff00ccff〇|r攻击力+180</v>
      </c>
      <c r="H13" s="14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>
        <v>100</v>
      </c>
      <c r="U13" s="25"/>
      <c r="V13" s="28"/>
      <c r="W13" s="25"/>
      <c r="X13" s="25"/>
      <c r="Y13" s="25">
        <v>1</v>
      </c>
      <c r="Z13" s="25"/>
      <c r="AA13" s="25"/>
      <c r="AB13" s="25"/>
      <c r="AC13" s="25"/>
      <c r="AD13" s="25"/>
      <c r="AE13" s="25"/>
      <c r="AF13" s="25"/>
      <c r="AG13" s="25"/>
      <c r="AH13" s="25">
        <v>0</v>
      </c>
      <c r="AI13" s="25"/>
      <c r="AJ13" s="25"/>
      <c r="AK13" s="25"/>
      <c r="AL13" s="25"/>
      <c r="AM13" s="25"/>
      <c r="AN13" s="25"/>
    </row>
    <row r="14" customHeight="1" spans="2:40">
      <c r="B14" s="25" t="s">
        <v>279</v>
      </c>
      <c r="C14" s="25" t="s">
        <v>36</v>
      </c>
      <c r="D14" s="25" t="str">
        <f>"|cffff00ff"&amp;辅助表格!A13&amp;"|r"</f>
        <v>|cffff00ff精良武器LV2|r</v>
      </c>
      <c r="E14" s="27" t="str">
        <f>"|cffff9900属性|r|n"&amp;"|cff00ccff〇|r"&amp;辅助表格!D13&amp;"|n"&amp;"|cff00ccff〇|r"&amp;辅助表格!F13&amp;"|n"&amp;"|cff00ccff〇|r"&amp;辅助表格!G13&amp;"|n"&amp;"|cff00ccff〇|r"&amp;辅助表格!C13</f>
        <v>|cffff9900属性|r|n|cff00ccff〇|r10%概率3倍范围伤害|n|cff00ccff〇|r攻速+40%|n|cff00ccff〇|r暴击率+8%|n|cff00ccff〇|r攻击力+225</v>
      </c>
      <c r="F14" s="14" t="str">
        <f t="shared" si="0"/>
        <v>|cffff00ff精良武器LV2|r</v>
      </c>
      <c r="G14" s="20" t="str">
        <f t="shared" si="1"/>
        <v>|cffff9900属性|r|n|cff00ccff〇|r10%概率3倍范围伤害|n|cff00ccff〇|r攻速+40%|n|cff00ccff〇|r暴击率+8%|n|cff00ccff〇|r攻击力+225</v>
      </c>
      <c r="H14" s="14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>
        <v>100</v>
      </c>
      <c r="U14" s="25"/>
      <c r="V14" s="28"/>
      <c r="W14" s="25"/>
      <c r="X14" s="25"/>
      <c r="Y14" s="25">
        <v>1</v>
      </c>
      <c r="Z14" s="25"/>
      <c r="AA14" s="25"/>
      <c r="AB14" s="25"/>
      <c r="AC14" s="25"/>
      <c r="AD14" s="25"/>
      <c r="AE14" s="25"/>
      <c r="AF14" s="25"/>
      <c r="AG14" s="25"/>
      <c r="AH14" s="25">
        <v>0</v>
      </c>
      <c r="AI14" s="25"/>
      <c r="AJ14" s="25"/>
      <c r="AK14" s="25"/>
      <c r="AL14" s="25"/>
      <c r="AM14" s="25"/>
      <c r="AN14" s="25"/>
    </row>
    <row r="15" customHeight="1" spans="2:40">
      <c r="B15" s="25" t="s">
        <v>279</v>
      </c>
      <c r="C15" s="25" t="s">
        <v>36</v>
      </c>
      <c r="D15" s="25" t="str">
        <f>"|cffff00ff"&amp;辅助表格!A14&amp;"|r"</f>
        <v>|cffff00ff精良武器LV3|r</v>
      </c>
      <c r="E15" s="27" t="str">
        <f>"|cffff9900属性|r|n"&amp;"|cff00ccff〇|r"&amp;辅助表格!D14&amp;"|n"&amp;"|cff00ccff〇|r"&amp;辅助表格!F14&amp;"|n"&amp;"|cff00ccff〇|r"&amp;辅助表格!G14&amp;"|n"&amp;"|cff00ccff〇|r"&amp;辅助表格!C14</f>
        <v>|cffff9900属性|r|n|cff00ccff〇|r10%概率3倍范围伤害|n|cff00ccff〇|r攻速+45%|n|cff00ccff〇|r暴击率+11%|n|cff00ccff〇|r攻击力+270</v>
      </c>
      <c r="F15" s="14" t="str">
        <f t="shared" si="0"/>
        <v>|cffff00ff精良武器LV3|r</v>
      </c>
      <c r="G15" s="20" t="str">
        <f t="shared" si="1"/>
        <v>|cffff9900属性|r|n|cff00ccff〇|r10%概率3倍范围伤害|n|cff00ccff〇|r攻速+45%|n|cff00ccff〇|r暴击率+11%|n|cff00ccff〇|r攻击力+270</v>
      </c>
      <c r="H15" s="14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>
        <v>100</v>
      </c>
      <c r="U15" s="25"/>
      <c r="V15" s="28"/>
      <c r="W15" s="25"/>
      <c r="X15" s="25"/>
      <c r="Y15" s="25">
        <v>1</v>
      </c>
      <c r="Z15" s="25"/>
      <c r="AA15" s="25"/>
      <c r="AB15" s="25"/>
      <c r="AC15" s="25"/>
      <c r="AD15" s="25"/>
      <c r="AE15" s="25"/>
      <c r="AF15" s="25"/>
      <c r="AG15" s="25"/>
      <c r="AH15" s="25">
        <v>0</v>
      </c>
      <c r="AI15" s="25"/>
      <c r="AJ15" s="25"/>
      <c r="AK15" s="25"/>
      <c r="AL15" s="25"/>
      <c r="AM15" s="25"/>
      <c r="AN15" s="25"/>
    </row>
    <row r="16" customHeight="1" spans="2:40">
      <c r="B16" s="25" t="s">
        <v>279</v>
      </c>
      <c r="C16" s="25" t="s">
        <v>36</v>
      </c>
      <c r="D16" s="25" t="str">
        <f>"|cffff00ff"&amp;辅助表格!A15&amp;"|r"</f>
        <v>|cffff00ff精良武器LV4|r</v>
      </c>
      <c r="E16" s="27" t="str">
        <f>"|cffff9900属性|r|n"&amp;"|cff00ccff〇|r"&amp;辅助表格!D15&amp;"|n"&amp;"|cff00ccff〇|r"&amp;辅助表格!F15&amp;"|n"&amp;"|cff00ccff〇|r"&amp;辅助表格!G15&amp;"|n"&amp;"|cff00ccff〇|r"&amp;辅助表格!C15</f>
        <v>|cffff9900属性|r|n|cff00ccff〇|r10%概率3倍范围伤害|n|cff00ccff〇|r攻速+50%|n|cff00ccff〇|r暴击率+14%|n|cff00ccff〇|r攻击力+315</v>
      </c>
      <c r="F16" s="14" t="str">
        <f t="shared" si="0"/>
        <v>|cffff00ff精良武器LV4|r</v>
      </c>
      <c r="G16" s="20" t="str">
        <f t="shared" si="1"/>
        <v>|cffff9900属性|r|n|cff00ccff〇|r10%概率3倍范围伤害|n|cff00ccff〇|r攻速+50%|n|cff00ccff〇|r暴击率+14%|n|cff00ccff〇|r攻击力+315</v>
      </c>
      <c r="H16" s="14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>
        <v>100</v>
      </c>
      <c r="U16" s="25"/>
      <c r="V16" s="28"/>
      <c r="W16" s="25"/>
      <c r="X16" s="25"/>
      <c r="Y16" s="25">
        <v>1</v>
      </c>
      <c r="Z16" s="25"/>
      <c r="AA16" s="25"/>
      <c r="AB16" s="25"/>
      <c r="AC16" s="25"/>
      <c r="AD16" s="25"/>
      <c r="AE16" s="25"/>
      <c r="AF16" s="25"/>
      <c r="AG16" s="25"/>
      <c r="AH16" s="25">
        <v>0</v>
      </c>
      <c r="AI16" s="25"/>
      <c r="AJ16" s="25"/>
      <c r="AK16" s="25"/>
      <c r="AL16" s="25"/>
      <c r="AM16" s="25"/>
      <c r="AN16" s="25"/>
    </row>
    <row r="17" customHeight="1" spans="2:40">
      <c r="B17" s="25" t="s">
        <v>279</v>
      </c>
      <c r="C17" s="25" t="s">
        <v>36</v>
      </c>
      <c r="D17" s="25" t="str">
        <f>"|cffff00ff"&amp;辅助表格!A16&amp;"|r"</f>
        <v>|cffff00ff精良武器LV5|r</v>
      </c>
      <c r="E17" s="27" t="str">
        <f>"|cffff9900属性|r|n"&amp;"|cff00ccff〇|r"&amp;辅助表格!D16&amp;"|n"&amp;"|cff00ccff〇|r"&amp;辅助表格!F16&amp;"|n"&amp;"|cff00ccff〇|r"&amp;辅助表格!G16&amp;"|n"&amp;"|cff00ccff〇|r"&amp;辅助表格!C16</f>
        <v>|cffff9900属性|r|n|cff00ccff〇|r10%概率3倍范围伤害|n|cff00ccff〇|r攻速+55%|n|cff00ccff〇|r暴击率+17%|n|cff00ccff〇|r攻击力+360</v>
      </c>
      <c r="F17" s="14" t="str">
        <f t="shared" si="0"/>
        <v>|cffff00ff精良武器LV5|r</v>
      </c>
      <c r="G17" s="20" t="str">
        <f t="shared" si="1"/>
        <v>|cffff9900属性|r|n|cff00ccff〇|r10%概率3倍范围伤害|n|cff00ccff〇|r攻速+55%|n|cff00ccff〇|r暴击率+17%|n|cff00ccff〇|r攻击力+360</v>
      </c>
      <c r="H17" s="14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>
        <v>100</v>
      </c>
      <c r="U17" s="25"/>
      <c r="V17" s="28"/>
      <c r="W17" s="25"/>
      <c r="X17" s="25"/>
      <c r="Y17" s="25">
        <v>1</v>
      </c>
      <c r="Z17" s="25"/>
      <c r="AA17" s="25"/>
      <c r="AB17" s="25"/>
      <c r="AC17" s="25"/>
      <c r="AD17" s="25"/>
      <c r="AE17" s="25"/>
      <c r="AF17" s="25"/>
      <c r="AG17" s="25"/>
      <c r="AH17" s="25">
        <v>0</v>
      </c>
      <c r="AI17" s="25"/>
      <c r="AJ17" s="25"/>
      <c r="AK17" s="25"/>
      <c r="AL17" s="25"/>
      <c r="AM17" s="25"/>
      <c r="AN17" s="25"/>
    </row>
    <row r="18" customHeight="1" spans="2:40">
      <c r="B18" s="25" t="s">
        <v>279</v>
      </c>
      <c r="C18" s="25" t="s">
        <v>36</v>
      </c>
      <c r="D18" s="25" t="str">
        <f>"|cffff6600"&amp;辅助表格!A17&amp;"|r"</f>
        <v>|cffff6600极品武器LV1|r</v>
      </c>
      <c r="E18" s="27" t="str">
        <f>"|cffff9900属性|r|n"&amp;"|cff00ccff〇|r"&amp;辅助表格!D17&amp;"|n"&amp;"|cff00ccff〇|r"&amp;辅助表格!F17&amp;"|n"&amp;"|cff00ccff〇|r"&amp;辅助表格!G17&amp;"|n"&amp;"|cff00ccff〇|r"&amp;辅助表格!H17&amp;"|n"&amp;"|cff00ccff〇|r"&amp;辅助表格!C17</f>
        <v>|cffff9900属性|r|n|cff00ccff〇|r10%概率3倍范围伤害|n|cff00ccff〇|r攻速+60%|n|cff00ccff〇|r暴击率+20%|n|cff00ccff〇|r暴击伤害+20%|n|cff00ccff〇|r攻击力+540</v>
      </c>
      <c r="F18" s="14" t="str">
        <f t="shared" si="0"/>
        <v>|cffff6600极品武器LV1|r</v>
      </c>
      <c r="G18" s="20" t="str">
        <f t="shared" si="1"/>
        <v>|cffff9900属性|r|n|cff00ccff〇|r10%概率3倍范围伤害|n|cff00ccff〇|r攻速+60%|n|cff00ccff〇|r暴击率+20%|n|cff00ccff〇|r暴击伤害+20%|n|cff00ccff〇|r攻击力+540</v>
      </c>
      <c r="H18" s="14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>
        <v>100</v>
      </c>
      <c r="U18" s="25"/>
      <c r="V18" s="28"/>
      <c r="W18" s="25"/>
      <c r="X18" s="25"/>
      <c r="Y18" s="25">
        <v>1</v>
      </c>
      <c r="Z18" s="25"/>
      <c r="AA18" s="25"/>
      <c r="AB18" s="25"/>
      <c r="AC18" s="25"/>
      <c r="AD18" s="25"/>
      <c r="AE18" s="25"/>
      <c r="AF18" s="25"/>
      <c r="AG18" s="25"/>
      <c r="AH18" s="25">
        <v>0</v>
      </c>
      <c r="AI18" s="25"/>
      <c r="AJ18" s="25"/>
      <c r="AK18" s="25"/>
      <c r="AL18" s="25"/>
      <c r="AM18" s="25"/>
      <c r="AN18" s="25"/>
    </row>
    <row r="19" customHeight="1" spans="2:40">
      <c r="B19" s="25" t="s">
        <v>279</v>
      </c>
      <c r="C19" s="25" t="s">
        <v>36</v>
      </c>
      <c r="D19" s="25" t="str">
        <f>"|cffff6600"&amp;辅助表格!A18&amp;"|r"</f>
        <v>|cffff6600极品武器LV2|r</v>
      </c>
      <c r="E19" s="27" t="str">
        <f>"|cffff9900属性|r|n"&amp;"|cff00ccff〇|r"&amp;辅助表格!D18&amp;"|n"&amp;"|cff00ccff〇|r"&amp;辅助表格!F18&amp;"|n"&amp;"|cff00ccff〇|r"&amp;辅助表格!G18&amp;"|n"&amp;"|cff00ccff〇|r"&amp;辅助表格!H18&amp;"|n"&amp;"|cff00ccff〇|r"&amp;辅助表格!C18</f>
        <v>|cffff9900属性|r|n|cff00ccff〇|r10%概率3倍范围伤害|n|cff00ccff〇|r攻速+65%|n|cff00ccff〇|r暴击率+23%|n|cff00ccff〇|r暴击伤害+30%|n|cff00ccff〇|r攻击力+675</v>
      </c>
      <c r="F19" s="14" t="str">
        <f t="shared" si="0"/>
        <v>|cffff6600极品武器LV2|r</v>
      </c>
      <c r="G19" s="20" t="str">
        <f t="shared" si="1"/>
        <v>|cffff9900属性|r|n|cff00ccff〇|r10%概率3倍范围伤害|n|cff00ccff〇|r攻速+65%|n|cff00ccff〇|r暴击率+23%|n|cff00ccff〇|r暴击伤害+30%|n|cff00ccff〇|r攻击力+675</v>
      </c>
      <c r="H19" s="14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>
        <v>100</v>
      </c>
      <c r="U19" s="25"/>
      <c r="V19" s="28"/>
      <c r="W19" s="25"/>
      <c r="X19" s="25"/>
      <c r="Y19" s="25">
        <v>1</v>
      </c>
      <c r="Z19" s="25"/>
      <c r="AA19" s="25"/>
      <c r="AB19" s="25"/>
      <c r="AC19" s="25"/>
      <c r="AD19" s="25"/>
      <c r="AE19" s="25"/>
      <c r="AF19" s="25"/>
      <c r="AG19" s="25"/>
      <c r="AH19" s="25">
        <v>0</v>
      </c>
      <c r="AI19" s="25"/>
      <c r="AJ19" s="25"/>
      <c r="AK19" s="25"/>
      <c r="AL19" s="25"/>
      <c r="AM19" s="25"/>
      <c r="AN19" s="25"/>
    </row>
    <row r="20" customHeight="1" spans="2:40">
      <c r="B20" s="25" t="s">
        <v>279</v>
      </c>
      <c r="C20" s="25" t="s">
        <v>36</v>
      </c>
      <c r="D20" s="25" t="str">
        <f>"|cffff6600"&amp;辅助表格!A19&amp;"|r"</f>
        <v>|cffff6600极品武器LV3|r</v>
      </c>
      <c r="E20" s="27" t="str">
        <f>"|cffff9900属性|r|n"&amp;"|cff00ccff〇|r"&amp;辅助表格!D19&amp;"|n"&amp;"|cff00ccff〇|r"&amp;辅助表格!F19&amp;"|n"&amp;"|cff00ccff〇|r"&amp;辅助表格!G19&amp;"|n"&amp;"|cff00ccff〇|r"&amp;辅助表格!H19&amp;"|n"&amp;"|cff00ccff〇|r"&amp;辅助表格!C19</f>
        <v>|cffff9900属性|r|n|cff00ccff〇|r10%概率3倍范围伤害|n|cff00ccff〇|r攻速+70%|n|cff00ccff〇|r暴击率+26%|n|cff00ccff〇|r暴击伤害+40%|n|cff00ccff〇|r攻击力+810</v>
      </c>
      <c r="F20" s="14" t="str">
        <f t="shared" si="0"/>
        <v>|cffff6600极品武器LV3|r</v>
      </c>
      <c r="G20" s="20" t="str">
        <f t="shared" si="1"/>
        <v>|cffff9900属性|r|n|cff00ccff〇|r10%概率3倍范围伤害|n|cff00ccff〇|r攻速+70%|n|cff00ccff〇|r暴击率+26%|n|cff00ccff〇|r暴击伤害+40%|n|cff00ccff〇|r攻击力+810</v>
      </c>
      <c r="H20" s="14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>
        <v>100</v>
      </c>
      <c r="U20" s="25"/>
      <c r="V20" s="28"/>
      <c r="W20" s="25"/>
      <c r="X20" s="25"/>
      <c r="Y20" s="25">
        <v>1</v>
      </c>
      <c r="Z20" s="25"/>
      <c r="AA20" s="25"/>
      <c r="AB20" s="25"/>
      <c r="AC20" s="25"/>
      <c r="AD20" s="25"/>
      <c r="AE20" s="25"/>
      <c r="AF20" s="25"/>
      <c r="AG20" s="25"/>
      <c r="AH20" s="25">
        <v>0</v>
      </c>
      <c r="AI20" s="25"/>
      <c r="AJ20" s="25"/>
      <c r="AK20" s="25"/>
      <c r="AL20" s="25"/>
      <c r="AM20" s="25"/>
      <c r="AN20" s="25"/>
    </row>
    <row r="21" customHeight="1" spans="2:40">
      <c r="B21" s="25" t="s">
        <v>279</v>
      </c>
      <c r="C21" s="25" t="s">
        <v>36</v>
      </c>
      <c r="D21" s="25" t="str">
        <f>"|cffff6600"&amp;辅助表格!A20&amp;"|r"</f>
        <v>|cffff6600极品武器LV4|r</v>
      </c>
      <c r="E21" s="27" t="str">
        <f>"|cffff9900属性|r|n"&amp;"|cff00ccff〇|r"&amp;辅助表格!D20&amp;"|n"&amp;"|cff00ccff〇|r"&amp;辅助表格!F20&amp;"|n"&amp;"|cff00ccff〇|r"&amp;辅助表格!G20&amp;"|n"&amp;"|cff00ccff〇|r"&amp;辅助表格!H20&amp;"|n"&amp;"|cff00ccff〇|r"&amp;辅助表格!C20</f>
        <v>|cffff9900属性|r|n|cff00ccff〇|r10%概率3倍范围伤害|n|cff00ccff〇|r攻速+75%|n|cff00ccff〇|r暴击率+29%|n|cff00ccff〇|r暴击伤害+50%|n|cff00ccff〇|r攻击力+945</v>
      </c>
      <c r="F21" s="14" t="str">
        <f t="shared" si="0"/>
        <v>|cffff6600极品武器LV4|r</v>
      </c>
      <c r="G21" s="20" t="str">
        <f t="shared" si="1"/>
        <v>|cffff9900属性|r|n|cff00ccff〇|r10%概率3倍范围伤害|n|cff00ccff〇|r攻速+75%|n|cff00ccff〇|r暴击率+29%|n|cff00ccff〇|r暴击伤害+50%|n|cff00ccff〇|r攻击力+945</v>
      </c>
      <c r="H21" s="14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>
        <v>100</v>
      </c>
      <c r="U21" s="25"/>
      <c r="V21" s="28"/>
      <c r="W21" s="25"/>
      <c r="X21" s="25"/>
      <c r="Y21" s="25">
        <v>1</v>
      </c>
      <c r="Z21" s="25"/>
      <c r="AA21" s="25"/>
      <c r="AB21" s="25"/>
      <c r="AC21" s="25"/>
      <c r="AD21" s="25"/>
      <c r="AE21" s="25"/>
      <c r="AF21" s="25"/>
      <c r="AG21" s="25"/>
      <c r="AH21" s="25">
        <v>0</v>
      </c>
      <c r="AI21" s="25"/>
      <c r="AJ21" s="25"/>
      <c r="AK21" s="25"/>
      <c r="AL21" s="25"/>
      <c r="AM21" s="25"/>
      <c r="AN21" s="25"/>
    </row>
    <row r="22" customHeight="1" spans="2:40">
      <c r="B22" s="25" t="s">
        <v>279</v>
      </c>
      <c r="C22" s="25" t="s">
        <v>36</v>
      </c>
      <c r="D22" s="25" t="str">
        <f>"|cffff6600"&amp;辅助表格!A21&amp;"|r"</f>
        <v>|cffff6600极品武器LV5|r</v>
      </c>
      <c r="E22" s="27" t="str">
        <f>"|cffff9900属性|r|n"&amp;"|cff00ccff〇|r"&amp;辅助表格!D21&amp;"|n"&amp;"|cff00ccff〇|r"&amp;辅助表格!F21&amp;"|n"&amp;"|cff00ccff〇|r"&amp;辅助表格!G21&amp;"|n"&amp;"|cff00ccff〇|r"&amp;辅助表格!H21&amp;"|n"&amp;"|cff00ccff〇|r"&amp;辅助表格!C21</f>
        <v>|cffff9900属性|r|n|cff00ccff〇|r10%概率3倍范围伤害|n|cff00ccff〇|r攻速+80%|n|cff00ccff〇|r暴击率+32%|n|cff00ccff〇|r暴击伤害+60%|n|cff00ccff〇|r攻击力+1080</v>
      </c>
      <c r="F22" s="14" t="str">
        <f t="shared" si="0"/>
        <v>|cffff6600极品武器LV5|r</v>
      </c>
      <c r="G22" s="20" t="str">
        <f t="shared" si="1"/>
        <v>|cffff9900属性|r|n|cff00ccff〇|r10%概率3倍范围伤害|n|cff00ccff〇|r攻速+80%|n|cff00ccff〇|r暴击率+32%|n|cff00ccff〇|r暴击伤害+60%|n|cff00ccff〇|r攻击力+1080</v>
      </c>
      <c r="H22" s="14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>
        <v>100</v>
      </c>
      <c r="U22" s="25"/>
      <c r="V22" s="28"/>
      <c r="W22" s="25"/>
      <c r="X22" s="25"/>
      <c r="Y22" s="25">
        <v>1</v>
      </c>
      <c r="Z22" s="25"/>
      <c r="AA22" s="25"/>
      <c r="AB22" s="25"/>
      <c r="AC22" s="25"/>
      <c r="AD22" s="25"/>
      <c r="AE22" s="25"/>
      <c r="AF22" s="25"/>
      <c r="AG22" s="25"/>
      <c r="AH22" s="25">
        <v>0</v>
      </c>
      <c r="AI22" s="25"/>
      <c r="AJ22" s="25"/>
      <c r="AK22" s="25"/>
      <c r="AL22" s="25"/>
      <c r="AM22" s="25"/>
      <c r="AN22" s="25"/>
    </row>
    <row r="23" customHeight="1" spans="2:40">
      <c r="B23" s="25" t="s">
        <v>279</v>
      </c>
      <c r="C23" s="25" t="s">
        <v>36</v>
      </c>
      <c r="D23" s="25" t="str">
        <f>辅助表格!B62</f>
        <v>巨人腰带</v>
      </c>
      <c r="E23" s="27" t="str">
        <f>"|cffff9900属性|r|n"&amp;"|cff00ccff〇|r"&amp;辅助表格!C62</f>
        <v>|cffff9900属性|r|n|cff00ccff〇|r力量+20</v>
      </c>
      <c r="F23" s="14" t="str">
        <f t="shared" si="0"/>
        <v>巨人腰带</v>
      </c>
      <c r="G23" s="20" t="str">
        <f t="shared" si="1"/>
        <v>|cffff9900属性|r|n|cff00ccff〇|r力量+20</v>
      </c>
      <c r="H23" s="14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>
        <v>100</v>
      </c>
      <c r="U23" s="25"/>
      <c r="V23" s="28"/>
      <c r="W23" s="25"/>
      <c r="X23" s="25"/>
      <c r="Y23" s="25">
        <v>1</v>
      </c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</row>
    <row r="24" customHeight="1" spans="2:40">
      <c r="B24" s="25" t="s">
        <v>279</v>
      </c>
      <c r="C24" s="25" t="s">
        <v>36</v>
      </c>
      <c r="D24" s="25" t="str">
        <f>辅助表格!B63</f>
        <v>红水晶</v>
      </c>
      <c r="E24" s="27" t="str">
        <f>"|cffff9900属性|r|n"&amp;"|cff00ccff〇|r"&amp;辅助表格!C63</f>
        <v>|cffff9900属性|r|n|cff00ccff〇|r生命值+800</v>
      </c>
      <c r="F24" s="14" t="str">
        <f t="shared" si="0"/>
        <v>红水晶</v>
      </c>
      <c r="G24" s="20" t="str">
        <f t="shared" si="1"/>
        <v>|cffff9900属性|r|n|cff00ccff〇|r生命值+800</v>
      </c>
      <c r="H24" s="14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>
        <v>100</v>
      </c>
      <c r="U24" s="25"/>
      <c r="V24" s="28"/>
      <c r="W24" s="25"/>
      <c r="X24" s="25"/>
      <c r="Y24" s="25">
        <v>1</v>
      </c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</row>
    <row r="25" customHeight="1" spans="2:40">
      <c r="B25" s="25" t="s">
        <v>279</v>
      </c>
      <c r="C25" s="25" t="s">
        <v>36</v>
      </c>
      <c r="D25" s="25" t="str">
        <f>辅助表格!B64</f>
        <v>铁斧</v>
      </c>
      <c r="E25" s="27" t="str">
        <f>"|cffff9900属性|r|n"&amp;"|cff00ccff〇|r"&amp;辅助表格!C64</f>
        <v>|cffff9900属性|r|n|cff00ccff〇|r攻击力+40</v>
      </c>
      <c r="F25" s="14" t="str">
        <f t="shared" si="0"/>
        <v>铁斧</v>
      </c>
      <c r="G25" s="20" t="str">
        <f t="shared" si="1"/>
        <v>|cffff9900属性|r|n|cff00ccff〇|r攻击力+40</v>
      </c>
      <c r="H25" s="14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>
        <v>100</v>
      </c>
      <c r="U25" s="25"/>
      <c r="V25" s="28"/>
      <c r="W25" s="25"/>
      <c r="X25" s="25"/>
      <c r="Y25" s="25">
        <v>1</v>
      </c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</row>
    <row r="26" customHeight="1" spans="2:40">
      <c r="B26" s="25" t="s">
        <v>279</v>
      </c>
      <c r="C26" s="25" t="s">
        <v>36</v>
      </c>
      <c r="D26" s="25" t="str">
        <f>辅助表格!B65</f>
        <v>匕首</v>
      </c>
      <c r="E26" s="27" t="str">
        <f>"|cffff9900属性|r|n"&amp;"|cff00ccff〇|r"&amp;辅助表格!C65</f>
        <v>|cffff9900属性|r|n|cff00ccff〇|r攻击速度+15%</v>
      </c>
      <c r="F26" s="14" t="str">
        <f t="shared" si="0"/>
        <v>匕首</v>
      </c>
      <c r="G26" s="20" t="str">
        <f t="shared" si="1"/>
        <v>|cffff9900属性|r|n|cff00ccff〇|r攻击速度+15%</v>
      </c>
      <c r="H26" s="14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>
        <v>100</v>
      </c>
      <c r="U26" s="25"/>
      <c r="V26" s="28"/>
      <c r="W26" s="25"/>
      <c r="X26" s="25"/>
      <c r="Y26" s="25">
        <v>1</v>
      </c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</row>
    <row r="27" customHeight="1" spans="2:40">
      <c r="B27" s="25" t="s">
        <v>279</v>
      </c>
      <c r="C27" s="25" t="s">
        <v>36</v>
      </c>
      <c r="D27" s="25" t="str">
        <f>辅助表格!B66</f>
        <v>蓝水晶</v>
      </c>
      <c r="E27" s="27" t="str">
        <f>"|cffff9900属性|r|n"&amp;"|cff00ccff〇|r"&amp;辅助表格!C66</f>
        <v>|cffff9900属性|r|n|cff00ccff〇|r法力值+80</v>
      </c>
      <c r="F27" s="14" t="str">
        <f t="shared" si="0"/>
        <v>蓝水晶</v>
      </c>
      <c r="G27" s="20" t="str">
        <f t="shared" si="1"/>
        <v>|cffff9900属性|r|n|cff00ccff〇|r法力值+80</v>
      </c>
      <c r="H27" s="14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>
        <v>100</v>
      </c>
      <c r="U27" s="25"/>
      <c r="V27" s="28"/>
      <c r="W27" s="25"/>
      <c r="X27" s="25"/>
      <c r="Y27" s="25">
        <v>1</v>
      </c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</row>
    <row r="28" customHeight="1" spans="2:40">
      <c r="B28" s="25" t="s">
        <v>279</v>
      </c>
      <c r="C28" s="25" t="s">
        <v>36</v>
      </c>
      <c r="D28" s="25" t="str">
        <f>辅助表格!B67</f>
        <v>桃木枝</v>
      </c>
      <c r="E28" s="27" t="str">
        <f>"|cffff9900属性|r|n"&amp;"|cff00ccff〇|r"&amp;辅助表格!C67</f>
        <v>|cffff9900属性|r|n|cff00ccff〇|r技能强度+0.2</v>
      </c>
      <c r="F28" s="14" t="str">
        <f t="shared" si="0"/>
        <v>桃木枝</v>
      </c>
      <c r="G28" s="20" t="str">
        <f t="shared" si="1"/>
        <v>|cffff9900属性|r|n|cff00ccff〇|r技能强度+0.2</v>
      </c>
      <c r="H28" s="14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>
        <v>100</v>
      </c>
      <c r="U28" s="25"/>
      <c r="V28" s="28"/>
      <c r="W28" s="25"/>
      <c r="X28" s="25"/>
      <c r="Y28" s="25">
        <v>1</v>
      </c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</row>
    <row r="29" customHeight="1" spans="2:40">
      <c r="B29" s="25" t="s">
        <v>279</v>
      </c>
      <c r="C29" s="25" t="s">
        <v>36</v>
      </c>
      <c r="D29" s="25" t="str">
        <f>"|cff00ccff"&amp;辅助表格!B68&amp;"|r"</f>
        <v>|cff00ccff强身护腕|r</v>
      </c>
      <c r="E29" s="27" t="str">
        <f>"|cffff9900属性|r|n"&amp;"|cff00ccff〇|r"&amp;辅助表格!C68</f>
        <v>|cffff9900属性|r|n|cff00ccff〇|r力量+90</v>
      </c>
      <c r="F29" s="14" t="str">
        <f t="shared" si="0"/>
        <v>|cff00ccff强身护腕|r</v>
      </c>
      <c r="G29" s="20" t="str">
        <f t="shared" si="1"/>
        <v>|cffff9900属性|r|n|cff00ccff〇|r力量+90</v>
      </c>
      <c r="H29" s="14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>
        <v>100</v>
      </c>
      <c r="U29" s="25"/>
      <c r="V29" s="28"/>
      <c r="W29" s="25"/>
      <c r="X29" s="25"/>
      <c r="Y29" s="25">
        <v>1</v>
      </c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</row>
    <row r="30" customHeight="1" spans="2:40">
      <c r="B30" s="25" t="s">
        <v>279</v>
      </c>
      <c r="C30" s="25" t="s">
        <v>36</v>
      </c>
      <c r="D30" s="25" t="str">
        <f>"|cff00ccff"&amp;辅助表格!B69&amp;"|r"</f>
        <v>|cff00ccff护身甲|r</v>
      </c>
      <c r="E30" s="27" t="str">
        <f>"|cffff9900属性|r|n"&amp;"|cff00ccff〇|r"&amp;辅助表格!C69&amp;"|n"&amp;"|cff00ccff〇|r"&amp;辅助表格!J69</f>
        <v>|cffff9900属性|r|n|cff00ccff〇|r护甲+2|n|cff00ccff〇|r生命回复+1%</v>
      </c>
      <c r="F30" s="14" t="str">
        <f t="shared" si="0"/>
        <v>|cff00ccff护身甲|r</v>
      </c>
      <c r="G30" s="20" t="str">
        <f t="shared" si="1"/>
        <v>|cffff9900属性|r|n|cff00ccff〇|r护甲+2|n|cff00ccff〇|r生命回复+1%</v>
      </c>
      <c r="H30" s="14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>
        <v>100</v>
      </c>
      <c r="U30" s="25"/>
      <c r="V30" s="29"/>
      <c r="W30" s="25"/>
      <c r="X30" s="25"/>
      <c r="Y30" s="25">
        <v>1</v>
      </c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</row>
    <row r="31" customHeight="1" spans="2:40">
      <c r="B31" s="25" t="s">
        <v>279</v>
      </c>
      <c r="C31" s="25" t="s">
        <v>36</v>
      </c>
      <c r="D31" s="25" t="str">
        <f>"|cff00ccff"&amp;辅助表格!B70&amp;"|r"</f>
        <v>|cff00ccff亮银枪|r</v>
      </c>
      <c r="E31" s="27" t="str">
        <f>"|cffff9900属性|r|n"&amp;"|cff00ccff〇|r"&amp;辅助表格!C70</f>
        <v>|cffff9900属性|r|n|cff00ccff〇|r攻击+180</v>
      </c>
      <c r="F31" s="14" t="str">
        <f t="shared" si="0"/>
        <v>|cff00ccff亮银枪|r</v>
      </c>
      <c r="G31" s="20" t="str">
        <f t="shared" si="1"/>
        <v>|cffff9900属性|r|n|cff00ccff〇|r攻击+180</v>
      </c>
      <c r="H31" s="14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>
        <v>100</v>
      </c>
      <c r="U31" s="25"/>
      <c r="V31" s="29"/>
      <c r="W31" s="25"/>
      <c r="X31" s="25"/>
      <c r="Y31" s="25">
        <v>1</v>
      </c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</row>
    <row r="32" customHeight="1" spans="2:40">
      <c r="B32" s="25" t="s">
        <v>279</v>
      </c>
      <c r="C32" s="25" t="s">
        <v>36</v>
      </c>
      <c r="D32" s="25" t="str">
        <f>"|cff00ccff"&amp;辅助表格!B71&amp;"|r"</f>
        <v>|cff00ccff虎爪|r</v>
      </c>
      <c r="E32" s="27" t="str">
        <f>"|cffff9900属性|r|n"&amp;"|cff00ccff〇|r"&amp;辅助表格!C71&amp;"|n"&amp;"|cff00ccff〇|r"&amp;辅助表格!J71</f>
        <v>|cffff9900属性|r|n|cff00ccff〇|r攻击+120|n|cff00ccff〇|r敏捷+60</v>
      </c>
      <c r="F32" s="14" t="str">
        <f t="shared" si="0"/>
        <v>|cff00ccff虎爪|r</v>
      </c>
      <c r="G32" s="20" t="str">
        <f t="shared" si="1"/>
        <v>|cffff9900属性|r|n|cff00ccff〇|r攻击+120|n|cff00ccff〇|r敏捷+60</v>
      </c>
      <c r="H32" s="14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>
        <v>100</v>
      </c>
      <c r="U32" s="25"/>
      <c r="V32" s="29"/>
      <c r="W32" s="25"/>
      <c r="X32" s="25"/>
      <c r="Y32" s="25">
        <v>1</v>
      </c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</row>
    <row r="33" customHeight="1" spans="2:40">
      <c r="B33" s="25" t="s">
        <v>279</v>
      </c>
      <c r="C33" s="25" t="s">
        <v>36</v>
      </c>
      <c r="D33" s="25" t="str">
        <f>"|cff00ccff"&amp;辅助表格!B72&amp;"|r"</f>
        <v>|cff00ccff智慧之冠|r</v>
      </c>
      <c r="E33" s="27" t="str">
        <f>"|cffff9900属性|r|n"&amp;"|cff00ccff〇|r"&amp;辅助表格!C72&amp;"|n"&amp;"|cff00ccff〇|r"&amp;辅助表格!J72</f>
        <v>|cffff9900属性|r|n|cff00ccff〇|r智力+60|n|cff00ccff〇|r法力回复+2%</v>
      </c>
      <c r="F33" s="14" t="str">
        <f t="shared" si="0"/>
        <v>|cff00ccff智慧之冠|r</v>
      </c>
      <c r="G33" s="20" t="str">
        <f t="shared" si="1"/>
        <v>|cffff9900属性|r|n|cff00ccff〇|r智力+60|n|cff00ccff〇|r法力回复+2%</v>
      </c>
      <c r="H33" s="14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>
        <v>100</v>
      </c>
      <c r="U33" s="25"/>
      <c r="V33" s="29"/>
      <c r="W33" s="25"/>
      <c r="X33" s="25"/>
      <c r="Y33" s="25">
        <v>1</v>
      </c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</row>
    <row r="34" customHeight="1" spans="2:40">
      <c r="B34" s="25" t="s">
        <v>279</v>
      </c>
      <c r="C34" s="25" t="s">
        <v>36</v>
      </c>
      <c r="D34" s="25" t="str">
        <f>"|cff00ccff"&amp;辅助表格!B73&amp;"|r"</f>
        <v>|cff00ccff顺风斗篷|r</v>
      </c>
      <c r="E34" s="27" t="str">
        <f>"|cffff9900属性|r|n"&amp;"|cff00ccff〇|r"&amp;辅助表格!C73&amp;"|n"&amp;"|cff00ccff〇|r"&amp;辅助表格!J73</f>
        <v>|cffff9900属性|r|n|cff00ccff〇|r移速+25%|n|cff00ccff〇|r闪避+5%</v>
      </c>
      <c r="F34" s="14" t="str">
        <f t="shared" si="0"/>
        <v>|cff00ccff顺风斗篷|r</v>
      </c>
      <c r="G34" s="20" t="str">
        <f t="shared" si="1"/>
        <v>|cffff9900属性|r|n|cff00ccff〇|r移速+25%|n|cff00ccff〇|r闪避+5%</v>
      </c>
      <c r="H34" s="14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>
        <v>100</v>
      </c>
      <c r="U34" s="25"/>
      <c r="V34" s="29"/>
      <c r="W34" s="25"/>
      <c r="X34" s="25"/>
      <c r="Y34" s="25">
        <v>1</v>
      </c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</row>
    <row r="35" customHeight="1" spans="2:40">
      <c r="B35" s="25" t="s">
        <v>279</v>
      </c>
      <c r="C35" s="25" t="s">
        <v>36</v>
      </c>
      <c r="D35" s="25" t="str">
        <f>"|cffff00ff"&amp;辅助表格!B74&amp;"|r"</f>
        <v>|cffff00ff祝福项链|r</v>
      </c>
      <c r="E35" s="27" t="str">
        <f>"|cffff9900属性|r|n"&amp;"|cff00ccff〇|r"&amp;辅助表格!C74&amp;"|n"&amp;"|cff00ccff〇|r"&amp;辅助表格!J74&amp;"|n"&amp;"|cff00ccff〇|r"&amp;辅助表格!K74</f>
        <v>|cffff9900属性|r|n|cff00ccff〇|r三围+60|n|cff00ccff〇|r生命回复+2%|n|cff00ccff〇|r法力回复+4%</v>
      </c>
      <c r="F35" s="14" t="str">
        <f t="shared" si="0"/>
        <v>|cffff00ff祝福项链|r</v>
      </c>
      <c r="G35" s="20" t="str">
        <f t="shared" si="1"/>
        <v>|cffff9900属性|r|n|cff00ccff〇|r三围+60|n|cff00ccff〇|r生命回复+2%|n|cff00ccff〇|r法力回复+4%</v>
      </c>
      <c r="H35" s="14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>
        <v>100</v>
      </c>
      <c r="U35" s="25"/>
      <c r="V35" s="29"/>
      <c r="W35" s="25"/>
      <c r="X35" s="25"/>
      <c r="Y35" s="25">
        <v>1</v>
      </c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</row>
    <row r="36" customHeight="1" spans="2:40">
      <c r="B36" s="25" t="s">
        <v>279</v>
      </c>
      <c r="C36" s="25" t="s">
        <v>36</v>
      </c>
      <c r="D36" s="25" t="str">
        <f>"|cffff00ff"&amp;辅助表格!B75&amp;"|r"</f>
        <v>|cffff00ff嗜血扳指|r</v>
      </c>
      <c r="E36" s="27" t="str">
        <f>"|cffff9900属性|r|n"&amp;"|cff00ccff〇|r"&amp;辅助表格!C75&amp;"|n"&amp;"|cff00ccff〇|r"&amp;辅助表格!J75</f>
        <v>|cffff9900属性|r|n|cff00ccff〇|r吸血+10%|n|cff00ccff〇|r杀敌5%+1随机属性</v>
      </c>
      <c r="F36" s="14" t="str">
        <f t="shared" si="0"/>
        <v>|cffff00ff嗜血扳指|r</v>
      </c>
      <c r="G36" s="20" t="str">
        <f t="shared" si="1"/>
        <v>|cffff9900属性|r|n|cff00ccff〇|r吸血+10%|n|cff00ccff〇|r杀敌5%+1随机属性</v>
      </c>
      <c r="H36" s="14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>
        <v>100</v>
      </c>
      <c r="U36" s="25"/>
      <c r="V36" s="29"/>
      <c r="W36" s="25"/>
      <c r="X36" s="25"/>
      <c r="Y36" s="25">
        <v>1</v>
      </c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</row>
    <row r="37" ht="15.75" customHeight="1" spans="2:40">
      <c r="B37" s="25" t="s">
        <v>279</v>
      </c>
      <c r="C37" s="25" t="s">
        <v>36</v>
      </c>
      <c r="D37" s="25" t="str">
        <f>"|cffff00ff"&amp;辅助表格!B76&amp;"|r"</f>
        <v>|cffff00ff震荡板甲|r</v>
      </c>
      <c r="E37" s="27" t="str">
        <f>"|cffff9900属性|r|n"&amp;"|cff00ccff〇|r"&amp;辅助表格!C76&amp;"|n"&amp;"|cff00ccff〇|r"&amp;辅助表格!J76</f>
        <v>|cffff9900属性|r|n|cff00ccff〇|r护甲+3|n|cff00ccff〇|r反伤15%</v>
      </c>
      <c r="F37" s="14" t="str">
        <f t="shared" si="0"/>
        <v>|cffff00ff震荡板甲|r</v>
      </c>
      <c r="G37" s="20" t="str">
        <f t="shared" si="1"/>
        <v>|cffff9900属性|r|n|cff00ccff〇|r护甲+3|n|cff00ccff〇|r反伤15%</v>
      </c>
      <c r="H37" s="14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>
        <v>100</v>
      </c>
      <c r="U37" s="25"/>
      <c r="V37" s="29"/>
      <c r="W37" s="25"/>
      <c r="X37" s="25"/>
      <c r="Y37" s="25">
        <v>1</v>
      </c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</row>
    <row r="38" ht="15.75" customHeight="1" spans="2:40">
      <c r="B38" s="25" t="s">
        <v>279</v>
      </c>
      <c r="C38" s="25" t="s">
        <v>36</v>
      </c>
      <c r="D38" s="25" t="str">
        <f>"|cffff00ff"&amp;辅助表格!B77&amp;"|r"</f>
        <v>|cffff00ff切割者|r</v>
      </c>
      <c r="E38" s="27" t="str">
        <f>"|cffff9900属性|r|n"&amp;"|cff00ccff〇|r"&amp;辅助表格!C77&amp;"|n"&amp;"|cff00ccff〇|r"&amp;辅助表格!J77</f>
        <v>|cffff9900属性|r|n|cff00ccff〇|r攻击+360|n|cff00ccff〇|r使被攻击者进入流血状态，每秒造成攻击*0.2的伤害持续3s</v>
      </c>
      <c r="F38" s="14" t="str">
        <f t="shared" si="0"/>
        <v>|cffff00ff切割者|r</v>
      </c>
      <c r="G38" s="20" t="str">
        <f t="shared" si="1"/>
        <v>|cffff9900属性|r|n|cff00ccff〇|r攻击+360|n|cff00ccff〇|r使被攻击者进入流血状态，每秒造成攻击*0.2的伤害持续3s</v>
      </c>
      <c r="H38" s="14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>
        <v>100</v>
      </c>
      <c r="U38" s="25"/>
      <c r="V38" s="29"/>
      <c r="W38" s="25"/>
      <c r="X38" s="25"/>
      <c r="Y38" s="25">
        <v>1</v>
      </c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</row>
    <row r="39" customHeight="1" spans="2:40">
      <c r="B39" s="25" t="s">
        <v>279</v>
      </c>
      <c r="C39" s="25" t="s">
        <v>36</v>
      </c>
      <c r="D39" s="25" t="str">
        <f>"|cffff00ff"&amp;辅助表格!B78&amp;"|r"</f>
        <v>|cffff00ff聚能法袍|r</v>
      </c>
      <c r="E39" s="27" t="str">
        <f>"|cffff9900属性|r|n"&amp;"|cff00ccff〇|r"&amp;辅助表格!C78&amp;"|n"&amp;"|cff00ccff〇|r"&amp;辅助表格!J78</f>
        <v>|cffff9900属性|r|n|cff00ccff〇|r技能强度+0.5|n|cff00ccff〇|r每次释放技能对周围敌人造成智力*3的伤害</v>
      </c>
      <c r="F39" s="14" t="str">
        <f t="shared" si="0"/>
        <v>|cffff00ff聚能法袍|r</v>
      </c>
      <c r="G39" s="20" t="str">
        <f t="shared" si="1"/>
        <v>|cffff9900属性|r|n|cff00ccff〇|r技能强度+0.5|n|cff00ccff〇|r每次释放技能对周围敌人造成智力*3的伤害</v>
      </c>
      <c r="H39" s="14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>
        <v>100</v>
      </c>
      <c r="U39" s="25"/>
      <c r="V39" s="28"/>
      <c r="W39" s="25"/>
      <c r="X39" s="25"/>
      <c r="Y39" s="25">
        <v>1</v>
      </c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</row>
    <row r="40" customHeight="1" spans="2:40">
      <c r="B40" s="25" t="s">
        <v>279</v>
      </c>
      <c r="C40" s="25" t="s">
        <v>36</v>
      </c>
      <c r="D40" s="25" t="str">
        <f>"|cffff00ff"&amp;辅助表格!B79&amp;"|r"</f>
        <v>|cffff00ff劈山刀|r</v>
      </c>
      <c r="E40" s="27" t="str">
        <f>"|cffff9900属性|r|n"&amp;"|cff00ccff〇|r"&amp;辅助表格!C79&amp;"|n"&amp;"|cff00ccff〇|r"&amp;辅助表格!J79</f>
        <v>|cffff9900属性|r|n|cff00ccff〇|r攻击+360|n|cff00ccff〇|r25%范围伤害</v>
      </c>
      <c r="F40" s="14" t="str">
        <f t="shared" si="0"/>
        <v>|cffff00ff劈山刀|r</v>
      </c>
      <c r="G40" s="20" t="str">
        <f t="shared" si="1"/>
        <v>|cffff9900属性|r|n|cff00ccff〇|r攻击+360|n|cff00ccff〇|r25%范围伤害</v>
      </c>
      <c r="H40" s="14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>
        <v>100</v>
      </c>
      <c r="U40" s="25"/>
      <c r="V40" s="28"/>
      <c r="W40" s="25"/>
      <c r="X40" s="25"/>
      <c r="Y40" s="25">
        <v>1</v>
      </c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</row>
    <row r="41" customHeight="1" spans="2:40">
      <c r="B41" s="25" t="s">
        <v>279</v>
      </c>
      <c r="C41" s="25" t="s">
        <v>36</v>
      </c>
      <c r="D41" s="25" t="str">
        <f>"|cffff6600"&amp;辅助表格!B80&amp;"|r"</f>
        <v>|cffff6600圣灵珠|r</v>
      </c>
      <c r="E41" s="27" t="str">
        <f>"|cffff9900属性|r|n"&amp;"|cff00ccff〇|r"&amp;辅助表格!C80&amp;"|n"&amp;"|cff00ccff〇|r"&amp;辅助表格!J80</f>
        <v>|cffff9900属性|r|n|cff00ccff〇|r三围+180，|n|cff00ccff〇|r每0.5s自动攻击周围敌人一次，造成三围*1的伤害</v>
      </c>
      <c r="F41" s="14" t="str">
        <f t="shared" si="0"/>
        <v>|cffff6600圣灵珠|r</v>
      </c>
      <c r="G41" s="20" t="str">
        <f t="shared" si="1"/>
        <v>|cffff9900属性|r|n|cff00ccff〇|r三围+180，|n|cff00ccff〇|r每0.5s自动攻击周围敌人一次，造成三围*1的伤害</v>
      </c>
      <c r="H41" s="14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>
        <v>100</v>
      </c>
      <c r="U41" s="25"/>
      <c r="V41" s="28"/>
      <c r="W41" s="25"/>
      <c r="X41" s="25"/>
      <c r="Y41" s="25">
        <v>1</v>
      </c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</row>
    <row r="42" customHeight="1" spans="2:40">
      <c r="B42" s="25" t="s">
        <v>279</v>
      </c>
      <c r="C42" s="25" t="s">
        <v>36</v>
      </c>
      <c r="D42" s="25" t="str">
        <f>"|cffff6600"&amp;辅助表格!B81&amp;"|r"</f>
        <v>|cffff6600流影镜|r</v>
      </c>
      <c r="E42" s="27" t="str">
        <f>"|cffff9900属性|r|n"&amp;"|cff00ccff〇|r"&amp;辅助表格!C81&amp;"|n"&amp;"|cff00ccff〇|r"&amp;辅助表格!J81</f>
        <v>|cffff9900属性|r|n|cff00ccff〇|r三围+180，|n|cff00ccff〇|r主动技能分身：分裂一个与自己一模一样的镜像，造成50%伤害，承受200%伤害</v>
      </c>
      <c r="F42" s="14" t="str">
        <f t="shared" si="0"/>
        <v>|cffff6600流影镜|r</v>
      </c>
      <c r="G42" s="20" t="str">
        <f t="shared" si="1"/>
        <v>|cffff9900属性|r|n|cff00ccff〇|r三围+180，|n|cff00ccff〇|r主动技能分身：分裂一个与自己一模一样的镜像，造成50%伤害，承受200%伤害</v>
      </c>
      <c r="H42" s="14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>
        <v>100</v>
      </c>
      <c r="U42" s="25"/>
      <c r="V42" s="28"/>
      <c r="W42" s="25"/>
      <c r="X42" s="25"/>
      <c r="Y42" s="25">
        <v>1</v>
      </c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</row>
    <row r="43" customHeight="1" spans="2:40">
      <c r="B43" s="25" t="s">
        <v>279</v>
      </c>
      <c r="C43" s="25" t="s">
        <v>36</v>
      </c>
      <c r="D43" s="25" t="str">
        <f>"|cffff6600"&amp;辅助表格!B82&amp;"|r"</f>
        <v>|cffff6600龙牙刺|r</v>
      </c>
      <c r="E43" s="27" t="str">
        <f>"|cffff9900属性|r|n"&amp;"|cff00ccff〇|r"&amp;辅助表格!C82&amp;"|n"&amp;"|cff00ccff〇|r"&amp;辅助表格!J82&amp;"|n"&amp;"|cff00ccff〇|r"&amp;辅助表格!K82</f>
        <v>|cffff9900属性|r|n|cff00ccff〇|r攻击力+1080|n|cff00ccff〇|r暴击率+10%|n|cff00ccff〇|r暴击伤害+50%</v>
      </c>
      <c r="F43" s="14" t="str">
        <f t="shared" si="0"/>
        <v>|cffff6600龙牙刺|r</v>
      </c>
      <c r="G43" s="20" t="str">
        <f t="shared" si="1"/>
        <v>|cffff9900属性|r|n|cff00ccff〇|r攻击力+1080|n|cff00ccff〇|r暴击率+10%|n|cff00ccff〇|r暴击伤害+50%</v>
      </c>
      <c r="H43" s="14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>
        <v>100</v>
      </c>
      <c r="U43" s="25"/>
      <c r="V43" s="28"/>
      <c r="W43" s="25"/>
      <c r="X43" s="25"/>
      <c r="Y43" s="25">
        <v>1</v>
      </c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</row>
    <row r="44" customHeight="1" spans="2:40">
      <c r="B44" s="25" t="s">
        <v>279</v>
      </c>
      <c r="C44" s="25" t="s">
        <v>36</v>
      </c>
      <c r="D44" s="25" t="str">
        <f>"|cffff6600"&amp;辅助表格!B83&amp;"|r"</f>
        <v>|cffff6600胜利之剑|r</v>
      </c>
      <c r="E44" s="27" t="str">
        <f>"|cffff9900属性|r|n"&amp;"|cff00ccff〇|r"&amp;辅助表格!C83&amp;"|n"&amp;"|cff00ccff〇|r"&amp;辅助表格!J83&amp;"|n"&amp;"|cff00ccff〇|r"&amp;辅助表格!K83</f>
        <v>|cffff9900属性|r|n|cff00ccff〇|r攻击力+1080|n|cff00ccff〇|r攻速+50%|n|cff00ccff〇|r主动技能无敌2s</v>
      </c>
      <c r="F44" s="14" t="str">
        <f t="shared" si="0"/>
        <v>|cffff6600胜利之剑|r</v>
      </c>
      <c r="G44" s="20" t="str">
        <f t="shared" si="1"/>
        <v>|cffff9900属性|r|n|cff00ccff〇|r攻击力+1080|n|cff00ccff〇|r攻速+50%|n|cff00ccff〇|r主动技能无敌2s</v>
      </c>
      <c r="H44" s="14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>
        <v>100</v>
      </c>
      <c r="U44" s="25"/>
      <c r="V44" s="28"/>
      <c r="W44" s="25"/>
      <c r="X44" s="25"/>
      <c r="Y44" s="25">
        <v>1</v>
      </c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</row>
    <row r="45" customHeight="1" spans="2:40">
      <c r="B45" s="25" t="s">
        <v>279</v>
      </c>
      <c r="C45" s="25" t="s">
        <v>36</v>
      </c>
      <c r="D45" s="25" t="str">
        <f>"|cffff6600"&amp;辅助表格!B84&amp;"|r"</f>
        <v>|cffff6600铁壁|r</v>
      </c>
      <c r="E45" s="27" t="str">
        <f>"|cffff9900属性|r|n"&amp;"|cff00ccff〇|r"&amp;辅助表格!C84&amp;"|n"&amp;"|cff00ccff〇|r"&amp;辅助表格!J84&amp;"|n"&amp;"|cff00ccff〇|r"&amp;辅助表格!K84&amp;"|n"&amp;"|cff00ccff〇|r"&amp;辅助表格!M84</f>
        <v>|cffff9900属性|r|n|cff00ccff〇|r减伤20%|n|cff00ccff〇|r生命值+21600|n|cff00ccff〇|r生命回复+3.5%|n|cff00ccff〇|r反伤30%</v>
      </c>
      <c r="F45" s="14" t="str">
        <f t="shared" si="0"/>
        <v>|cffff6600铁壁|r</v>
      </c>
      <c r="G45" s="20" t="str">
        <f t="shared" si="1"/>
        <v>|cffff9900属性|r|n|cff00ccff〇|r减伤20%|n|cff00ccff〇|r生命值+21600|n|cff00ccff〇|r生命回复+3.5%|n|cff00ccff〇|r反伤30%</v>
      </c>
      <c r="H45" s="14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>
        <v>100</v>
      </c>
      <c r="U45" s="25"/>
      <c r="V45" s="28"/>
      <c r="W45" s="25"/>
      <c r="X45" s="25"/>
      <c r="Y45" s="25">
        <v>1</v>
      </c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</row>
    <row r="46" customHeight="1" spans="2:40">
      <c r="B46" s="25" t="s">
        <v>279</v>
      </c>
      <c r="C46" s="25" t="s">
        <v>36</v>
      </c>
      <c r="D46" s="25" t="str">
        <f>"|cffff6600"&amp;辅助表格!B85&amp;"|r"</f>
        <v>|cffff6600贤者之书|r</v>
      </c>
      <c r="E46" s="27" t="str">
        <f>"|cffff9900属性|r|n"&amp;"|cff00ccff〇|r"&amp;辅助表格!C85&amp;"|n"&amp;"|cff00ccff〇|r"&amp;辅助表格!J85&amp;"|n"&amp;"|cff00ccff〇|r"&amp;辅助表格!K85&amp;"|n"&amp;"|cff00ccff〇|r"&amp;辅助表格!M85</f>
        <v>|cffff9900属性|r|n|cff00ccff〇|r智力+540|n|cff00ccff〇|r法力值+2160|n|cff00ccff〇|r法力回复+7%|n|cff00ccff〇|r技能强度+1</v>
      </c>
      <c r="F46" s="14" t="str">
        <f t="shared" si="0"/>
        <v>|cffff6600贤者之书|r</v>
      </c>
      <c r="G46" s="20" t="str">
        <f t="shared" si="1"/>
        <v>|cffff9900属性|r|n|cff00ccff〇|r智力+540|n|cff00ccff〇|r法力值+2160|n|cff00ccff〇|r法力回复+7%|n|cff00ccff〇|r技能强度+1</v>
      </c>
      <c r="H46" s="14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>
        <v>100</v>
      </c>
      <c r="U46" s="25"/>
      <c r="V46" s="28"/>
      <c r="W46" s="25"/>
      <c r="X46" s="25"/>
      <c r="Y46" s="25">
        <v>1</v>
      </c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</row>
    <row r="47" customHeight="1" spans="2:40">
      <c r="B47" s="25" t="s">
        <v>279</v>
      </c>
      <c r="C47" s="25" t="s">
        <v>36</v>
      </c>
      <c r="D47" s="25" t="str">
        <f>辅助表格!A88</f>
        <v>简陋防具LV1</v>
      </c>
      <c r="E47" s="27" t="str">
        <f>"|cffff9900属性|r|n"&amp;"|cff00ccff〇|r"&amp;辅助表格!C88&amp;"|n"&amp;"|cff00ccff〇|r"&amp;辅助表格!D88</f>
        <v>|cffff9900属性|r|n|cff00ccff〇|r护甲+1|n|cff00ccff〇|r生命值+400</v>
      </c>
      <c r="F47" s="14" t="str">
        <f t="shared" si="0"/>
        <v>简陋防具LV1</v>
      </c>
      <c r="G47" s="20" t="str">
        <f t="shared" si="1"/>
        <v>|cffff9900属性|r|n|cff00ccff〇|r护甲+1|n|cff00ccff〇|r生命值+400</v>
      </c>
      <c r="H47" s="14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>
        <v>100</v>
      </c>
      <c r="U47" s="25"/>
      <c r="V47" s="28"/>
      <c r="W47" s="25"/>
      <c r="X47" s="25"/>
      <c r="Y47" s="25">
        <v>1</v>
      </c>
      <c r="Z47" s="25"/>
      <c r="AA47" s="25"/>
      <c r="AB47" s="25"/>
      <c r="AC47" s="25"/>
      <c r="AD47" s="25"/>
      <c r="AE47" s="25"/>
      <c r="AF47" s="25"/>
      <c r="AG47" s="25"/>
      <c r="AH47" s="25">
        <v>0</v>
      </c>
      <c r="AI47" s="25"/>
      <c r="AJ47" s="25"/>
      <c r="AK47" s="25"/>
      <c r="AL47" s="25"/>
      <c r="AM47" s="25"/>
      <c r="AN47" s="25"/>
    </row>
    <row r="48" customHeight="1" spans="2:40">
      <c r="B48" s="25" t="s">
        <v>279</v>
      </c>
      <c r="C48" s="25" t="s">
        <v>36</v>
      </c>
      <c r="D48" s="25" t="str">
        <f>辅助表格!A89</f>
        <v>简陋防具LV2</v>
      </c>
      <c r="E48" s="27" t="str">
        <f>"|cffff9900属性|r|n"&amp;"|cff00ccff〇|r"&amp;辅助表格!C89&amp;"|n"&amp;"|cff00ccff〇|r"&amp;辅助表格!D89</f>
        <v>|cffff9900属性|r|n|cff00ccff〇|r护甲+1|n|cff00ccff〇|r生命值+500</v>
      </c>
      <c r="F48" s="14" t="str">
        <f t="shared" si="0"/>
        <v>简陋防具LV2</v>
      </c>
      <c r="G48" s="20" t="str">
        <f t="shared" si="1"/>
        <v>|cffff9900属性|r|n|cff00ccff〇|r护甲+1|n|cff00ccff〇|r生命值+500</v>
      </c>
      <c r="H48" s="14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>
        <v>100</v>
      </c>
      <c r="U48" s="25"/>
      <c r="V48" s="28"/>
      <c r="W48" s="25"/>
      <c r="X48" s="25"/>
      <c r="Y48" s="25">
        <v>1</v>
      </c>
      <c r="Z48" s="25"/>
      <c r="AA48" s="25"/>
      <c r="AB48" s="25"/>
      <c r="AC48" s="25"/>
      <c r="AD48" s="25"/>
      <c r="AE48" s="25"/>
      <c r="AF48" s="25"/>
      <c r="AG48" s="25"/>
      <c r="AH48" s="25">
        <v>0</v>
      </c>
      <c r="AI48" s="25"/>
      <c r="AJ48" s="25"/>
      <c r="AK48" s="25"/>
      <c r="AL48" s="25"/>
      <c r="AM48" s="25"/>
      <c r="AN48" s="25"/>
    </row>
    <row r="49" customHeight="1" spans="2:40">
      <c r="B49" s="25" t="s">
        <v>279</v>
      </c>
      <c r="C49" s="25" t="s">
        <v>36</v>
      </c>
      <c r="D49" s="25" t="str">
        <f>辅助表格!A90</f>
        <v>简陋防具LV3</v>
      </c>
      <c r="E49" s="27" t="str">
        <f>"|cffff9900属性|r|n"&amp;"|cff00ccff〇|r"&amp;辅助表格!C90&amp;"|n"&amp;"|cff00ccff〇|r"&amp;辅助表格!D90</f>
        <v>|cffff9900属性|r|n|cff00ccff〇|r护甲+1|n|cff00ccff〇|r生命值+600</v>
      </c>
      <c r="F49" s="14" t="str">
        <f t="shared" si="0"/>
        <v>简陋防具LV3</v>
      </c>
      <c r="G49" s="20" t="str">
        <f t="shared" si="1"/>
        <v>|cffff9900属性|r|n|cff00ccff〇|r护甲+1|n|cff00ccff〇|r生命值+600</v>
      </c>
      <c r="H49" s="14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>
        <v>100</v>
      </c>
      <c r="U49" s="25"/>
      <c r="V49" s="28"/>
      <c r="W49" s="25"/>
      <c r="X49" s="25"/>
      <c r="Y49" s="25">
        <v>1</v>
      </c>
      <c r="Z49" s="25"/>
      <c r="AA49" s="25"/>
      <c r="AB49" s="25"/>
      <c r="AC49" s="25"/>
      <c r="AD49" s="25"/>
      <c r="AE49" s="25"/>
      <c r="AF49" s="25"/>
      <c r="AG49" s="25"/>
      <c r="AH49" s="25">
        <v>0</v>
      </c>
      <c r="AI49" s="25"/>
      <c r="AJ49" s="25"/>
      <c r="AK49" s="25"/>
      <c r="AL49" s="25"/>
      <c r="AM49" s="25"/>
      <c r="AN49" s="25"/>
    </row>
    <row r="50" customHeight="1" spans="2:34">
      <c r="B50" s="25" t="s">
        <v>279</v>
      </c>
      <c r="C50" s="25" t="s">
        <v>36</v>
      </c>
      <c r="D50" s="25" t="str">
        <f>辅助表格!A91</f>
        <v>简陋防具LV4</v>
      </c>
      <c r="E50" s="27" t="str">
        <f>"|cffff9900属性|r|n"&amp;"|cff00ccff〇|r"&amp;辅助表格!C91&amp;"|n"&amp;"|cff00ccff〇|r"&amp;辅助表格!D91</f>
        <v>|cffff9900属性|r|n|cff00ccff〇|r护甲+1|n|cff00ccff〇|r生命值+700</v>
      </c>
      <c r="F50" s="14" t="str">
        <f t="shared" si="0"/>
        <v>简陋防具LV4</v>
      </c>
      <c r="G50" s="20" t="str">
        <f t="shared" si="1"/>
        <v>|cffff9900属性|r|n|cff00ccff〇|r护甲+1|n|cff00ccff〇|r生命值+700</v>
      </c>
      <c r="I50" s="25"/>
      <c r="K50" s="25"/>
      <c r="T50" s="25">
        <v>100</v>
      </c>
      <c r="Y50" s="25">
        <v>1</v>
      </c>
      <c r="AH50" s="25">
        <v>0</v>
      </c>
    </row>
    <row r="51" customHeight="1" spans="2:34">
      <c r="B51" s="25" t="s">
        <v>279</v>
      </c>
      <c r="C51" s="25" t="s">
        <v>36</v>
      </c>
      <c r="D51" s="25" t="str">
        <f>辅助表格!A92</f>
        <v>简陋防具LV5</v>
      </c>
      <c r="E51" s="27" t="str">
        <f>"|cffff9900属性|r|n"&amp;"|cff00ccff〇|r"&amp;辅助表格!C92&amp;"|n"&amp;"|cff00ccff〇|r"&amp;辅助表格!D92</f>
        <v>|cffff9900属性|r|n|cff00ccff〇|r护甲+1|n|cff00ccff〇|r生命值+800</v>
      </c>
      <c r="F51" s="14" t="str">
        <f t="shared" si="0"/>
        <v>简陋防具LV5</v>
      </c>
      <c r="G51" s="20" t="str">
        <f t="shared" si="1"/>
        <v>|cffff9900属性|r|n|cff00ccff〇|r护甲+1|n|cff00ccff〇|r生命值+800</v>
      </c>
      <c r="I51" s="25"/>
      <c r="K51" s="25"/>
      <c r="T51" s="25">
        <v>100</v>
      </c>
      <c r="Y51" s="25">
        <v>1</v>
      </c>
      <c r="AH51" s="25">
        <v>0</v>
      </c>
    </row>
    <row r="52" customHeight="1" spans="2:34">
      <c r="B52" s="25" t="s">
        <v>279</v>
      </c>
      <c r="C52" s="25" t="s">
        <v>36</v>
      </c>
      <c r="D52" s="25" t="str">
        <f>"|cff00ccff"&amp;辅助表格!A94&amp;"|r"</f>
        <v>|cff00ccff普通防具LV1|r</v>
      </c>
      <c r="E52" s="27" t="str">
        <f>"|cffff9900属性|r|n"&amp;"|cff00ccff〇|r"&amp;辅助表格!C94&amp;"|n"&amp;"|cff00ccff〇|r"&amp;辅助表格!E94&amp;"|n"&amp;"|cff00ccff〇|r"&amp;辅助表格!F94</f>
        <v>|cffff9900属性|r|n|cff00ccff〇|r护甲+2|n|cff00ccff〇|r生命回复+0.5%|n|cff00ccff〇|r法力回复+1.0%</v>
      </c>
      <c r="F52" s="14" t="str">
        <f t="shared" si="0"/>
        <v>|cff00ccff普通防具LV1|r</v>
      </c>
      <c r="G52" s="20" t="str">
        <f t="shared" si="1"/>
        <v>|cffff9900属性|r|n|cff00ccff〇|r护甲+2|n|cff00ccff〇|r生命回复+0.5%|n|cff00ccff〇|r法力回复+1.0%</v>
      </c>
      <c r="I52" s="25"/>
      <c r="K52" s="25"/>
      <c r="T52" s="25">
        <v>100</v>
      </c>
      <c r="Y52" s="25">
        <v>1</v>
      </c>
      <c r="AH52" s="25">
        <v>0</v>
      </c>
    </row>
    <row r="53" customHeight="1" spans="2:34">
      <c r="B53" s="25" t="s">
        <v>279</v>
      </c>
      <c r="C53" s="25" t="s">
        <v>36</v>
      </c>
      <c r="D53" s="25" t="str">
        <f>"|cff00ccff"&amp;辅助表格!A95&amp;"|r"</f>
        <v>|cff00ccff普通防具LV2|r</v>
      </c>
      <c r="E53" s="27" t="str">
        <f>"|cffff9900属性|r|n"&amp;"|cff00ccff〇|r"&amp;辅助表格!C95&amp;"|n"&amp;"|cff00ccff〇|r"&amp;辅助表格!E95&amp;"|n"&amp;"|cff00ccff〇|r"&amp;辅助表格!F95</f>
        <v>|cffff9900属性|r|n|cff00ccff〇|r护甲+2|n|cff00ccff〇|r生命回复+0.6%|n|cff00ccff〇|r法力回复+1.2%</v>
      </c>
      <c r="F53" s="14" t="str">
        <f t="shared" si="0"/>
        <v>|cff00ccff普通防具LV2|r</v>
      </c>
      <c r="G53" s="20" t="str">
        <f t="shared" si="1"/>
        <v>|cffff9900属性|r|n|cff00ccff〇|r护甲+2|n|cff00ccff〇|r生命回复+0.6%|n|cff00ccff〇|r法力回复+1.2%</v>
      </c>
      <c r="I53" s="25"/>
      <c r="K53" s="25"/>
      <c r="T53" s="25">
        <v>100</v>
      </c>
      <c r="Y53" s="25">
        <v>1</v>
      </c>
      <c r="AH53" s="25">
        <v>0</v>
      </c>
    </row>
    <row r="54" customHeight="1" spans="2:34">
      <c r="B54" s="25" t="s">
        <v>279</v>
      </c>
      <c r="C54" s="25" t="s">
        <v>36</v>
      </c>
      <c r="D54" s="25" t="str">
        <f>"|cff00ccff"&amp;辅助表格!A96&amp;"|r"</f>
        <v>|cff00ccff普通防具LV3|r</v>
      </c>
      <c r="E54" s="27" t="str">
        <f>"|cffff9900属性|r|n"&amp;"|cff00ccff〇|r"&amp;辅助表格!C96&amp;"|n"&amp;"|cff00ccff〇|r"&amp;辅助表格!E96&amp;"|n"&amp;"|cff00ccff〇|r"&amp;辅助表格!F96</f>
        <v>|cffff9900属性|r|n|cff00ccff〇|r护甲+2|n|cff00ccff〇|r生命回复+0.7%|n|cff00ccff〇|r法力回复+1.4%</v>
      </c>
      <c r="F54" s="14" t="str">
        <f t="shared" si="0"/>
        <v>|cff00ccff普通防具LV3|r</v>
      </c>
      <c r="G54" s="20" t="str">
        <f t="shared" si="1"/>
        <v>|cffff9900属性|r|n|cff00ccff〇|r护甲+2|n|cff00ccff〇|r生命回复+0.7%|n|cff00ccff〇|r法力回复+1.4%</v>
      </c>
      <c r="I54" s="25"/>
      <c r="K54" s="25"/>
      <c r="T54" s="25">
        <v>100</v>
      </c>
      <c r="Y54" s="25">
        <v>1</v>
      </c>
      <c r="AH54" s="25">
        <v>0</v>
      </c>
    </row>
    <row r="55" customHeight="1" spans="2:34">
      <c r="B55" s="25" t="s">
        <v>279</v>
      </c>
      <c r="C55" s="25" t="s">
        <v>36</v>
      </c>
      <c r="D55" s="25" t="str">
        <f>"|cff00ccff"&amp;辅助表格!A97&amp;"|r"</f>
        <v>|cff00ccff普通防具LV4|r</v>
      </c>
      <c r="E55" s="27" t="str">
        <f>"|cffff9900属性|r|n"&amp;"|cff00ccff〇|r"&amp;辅助表格!C97&amp;"|n"&amp;"|cff00ccff〇|r"&amp;辅助表格!E97&amp;"|n"&amp;"|cff00ccff〇|r"&amp;辅助表格!F97</f>
        <v>|cffff9900属性|r|n|cff00ccff〇|r护甲+2|n|cff00ccff〇|r生命回复+0.8%|n|cff00ccff〇|r法力回复+1.6%</v>
      </c>
      <c r="F55" s="14" t="str">
        <f t="shared" si="0"/>
        <v>|cff00ccff普通防具LV4|r</v>
      </c>
      <c r="G55" s="20" t="str">
        <f t="shared" si="1"/>
        <v>|cffff9900属性|r|n|cff00ccff〇|r护甲+2|n|cff00ccff〇|r生命回复+0.8%|n|cff00ccff〇|r法力回复+1.6%</v>
      </c>
      <c r="I55" s="25"/>
      <c r="K55" s="25"/>
      <c r="T55" s="25">
        <v>100</v>
      </c>
      <c r="Y55" s="25">
        <v>1</v>
      </c>
      <c r="AH55" s="25">
        <v>0</v>
      </c>
    </row>
    <row r="56" customHeight="1" spans="2:34">
      <c r="B56" s="25" t="s">
        <v>279</v>
      </c>
      <c r="C56" s="25" t="s">
        <v>36</v>
      </c>
      <c r="D56" s="25" t="str">
        <f>"|cff00ccff"&amp;辅助表格!A98&amp;"|r"</f>
        <v>|cff00ccff普通防具LV5|r</v>
      </c>
      <c r="E56" s="27" t="str">
        <f>"|cffff9900属性|r|n"&amp;"|cff00ccff〇|r"&amp;辅助表格!C98&amp;"|n"&amp;"|cff00ccff〇|r"&amp;辅助表格!E98&amp;"|n"&amp;"|cff00ccff〇|r"&amp;辅助表格!F98</f>
        <v>|cffff9900属性|r|n|cff00ccff〇|r护甲+2|n|cff00ccff〇|r生命回复+1%|n|cff00ccff〇|r法力回复+2%</v>
      </c>
      <c r="F56" s="14" t="str">
        <f t="shared" si="0"/>
        <v>|cff00ccff普通防具LV5|r</v>
      </c>
      <c r="G56" s="20" t="str">
        <f t="shared" si="1"/>
        <v>|cffff9900属性|r|n|cff00ccff〇|r护甲+2|n|cff00ccff〇|r生命回复+1%|n|cff00ccff〇|r法力回复+2%</v>
      </c>
      <c r="I56" s="25"/>
      <c r="K56" s="25"/>
      <c r="T56" s="25">
        <v>100</v>
      </c>
      <c r="Y56" s="25">
        <v>1</v>
      </c>
      <c r="AH56" s="25">
        <v>0</v>
      </c>
    </row>
    <row r="57" customHeight="1" spans="2:34">
      <c r="B57" s="25" t="s">
        <v>279</v>
      </c>
      <c r="C57" s="25" t="s">
        <v>36</v>
      </c>
      <c r="D57" s="25" t="str">
        <f>"|cffff00ff"&amp;辅助表格!A100&amp;"|r"</f>
        <v>|cffff00ff精良防具LV1|r</v>
      </c>
      <c r="E57" s="27" t="str">
        <f>"|cffff9900属性|r|n"&amp;"|cff00ccff〇|r"&amp;辅助表格!C100&amp;"|n"&amp;"|cff00ccff〇|r"&amp;辅助表格!D100&amp;"|n"&amp;"|cff00ccff〇|r"&amp;辅助表格!F100&amp;"|n"&amp;"|cff00ccff〇|r"&amp;辅助表格!G100&amp;"|n"&amp;"|cff00ccff〇|r"&amp;辅助表格!E100</f>
        <v>|cffff9900属性|r|n|cff00ccff〇|r护甲+3|n|cff00ccff〇|r生命值+3600|n|cff00ccff〇|r法力回复+2.4%|n|cff00ccff〇|r闪避+3%|n|cff00ccff〇|r生命回复+1.2%</v>
      </c>
      <c r="F57" s="14" t="str">
        <f t="shared" si="0"/>
        <v>|cffff00ff精良防具LV1|r</v>
      </c>
      <c r="G57" s="20" t="str">
        <f t="shared" si="1"/>
        <v>|cffff9900属性|r|n|cff00ccff〇|r护甲+3|n|cff00ccff〇|r生命值+3600|n|cff00ccff〇|r法力回复+2.4%|n|cff00ccff〇|r闪避+3%|n|cff00ccff〇|r生命回复+1.2%</v>
      </c>
      <c r="T57" s="25">
        <v>100</v>
      </c>
      <c r="Y57" s="25">
        <v>1</v>
      </c>
      <c r="AH57" s="25">
        <v>0</v>
      </c>
    </row>
    <row r="58" customHeight="1" spans="2:34">
      <c r="B58" s="25" t="s">
        <v>279</v>
      </c>
      <c r="C58" s="25" t="s">
        <v>36</v>
      </c>
      <c r="D58" s="25" t="str">
        <f>"|cffff00ff"&amp;辅助表格!A101&amp;"|r"</f>
        <v>|cffff00ff精良防具LV2|r</v>
      </c>
      <c r="E58" s="27" t="str">
        <f>"|cffff9900属性|r|n"&amp;"|cff00ccff〇|r"&amp;辅助表格!C101&amp;"|n"&amp;"|cff00ccff〇|r"&amp;辅助表格!D101&amp;"|n"&amp;"|cff00ccff〇|r"&amp;辅助表格!F101&amp;"|n"&amp;"|cff00ccff〇|r"&amp;辅助表格!G101&amp;"|n"&amp;"|cff00ccff〇|r"&amp;辅助表格!E101</f>
        <v>|cffff9900属性|r|n|cff00ccff〇|r护甲+3|n|cff00ccff〇|r生命值+4500|n|cff00ccff〇|r法力回复+2.8%|n|cff00ccff〇|r闪避+3.5%|n|cff00ccff〇|r生命回复+1.4%</v>
      </c>
      <c r="F58" s="14" t="str">
        <f t="shared" si="0"/>
        <v>|cffff00ff精良防具LV2|r</v>
      </c>
      <c r="G58" s="20" t="str">
        <f t="shared" si="1"/>
        <v>|cffff9900属性|r|n|cff00ccff〇|r护甲+3|n|cff00ccff〇|r生命值+4500|n|cff00ccff〇|r法力回复+2.8%|n|cff00ccff〇|r闪避+3.5%|n|cff00ccff〇|r生命回复+1.4%</v>
      </c>
      <c r="T58" s="25">
        <v>100</v>
      </c>
      <c r="Y58" s="25">
        <v>1</v>
      </c>
      <c r="AH58" s="25">
        <v>0</v>
      </c>
    </row>
    <row r="59" customHeight="1" spans="2:34">
      <c r="B59" s="25" t="s">
        <v>279</v>
      </c>
      <c r="C59" s="25" t="s">
        <v>36</v>
      </c>
      <c r="D59" s="25" t="str">
        <f>"|cffff00ff"&amp;辅助表格!A102&amp;"|r"</f>
        <v>|cffff00ff精良防具LV3|r</v>
      </c>
      <c r="E59" s="27" t="str">
        <f>"|cffff9900属性|r|n"&amp;"|cff00ccff〇|r"&amp;辅助表格!C102&amp;"|n"&amp;"|cff00ccff〇|r"&amp;辅助表格!D102&amp;"|n"&amp;"|cff00ccff〇|r"&amp;辅助表格!F102&amp;"|n"&amp;"|cff00ccff〇|r"&amp;辅助表格!G102&amp;"|n"&amp;"|cff00ccff〇|r"&amp;辅助表格!E102</f>
        <v>|cffff9900属性|r|n|cff00ccff〇|r护甲+3|n|cff00ccff〇|r生命值+5400|n|cff00ccff〇|r法力回复+3.2%|n|cff00ccff〇|r闪避+4%|n|cff00ccff〇|r生命回复+1.6%</v>
      </c>
      <c r="F59" s="14" t="str">
        <f t="shared" si="0"/>
        <v>|cffff00ff精良防具LV3|r</v>
      </c>
      <c r="G59" s="20" t="str">
        <f t="shared" si="1"/>
        <v>|cffff9900属性|r|n|cff00ccff〇|r护甲+3|n|cff00ccff〇|r生命值+5400|n|cff00ccff〇|r法力回复+3.2%|n|cff00ccff〇|r闪避+4%|n|cff00ccff〇|r生命回复+1.6%</v>
      </c>
      <c r="T59" s="25">
        <v>100</v>
      </c>
      <c r="Y59" s="25">
        <v>1</v>
      </c>
      <c r="AH59" s="25">
        <v>0</v>
      </c>
    </row>
    <row r="60" customHeight="1" spans="2:34">
      <c r="B60" s="25" t="s">
        <v>279</v>
      </c>
      <c r="C60" s="25" t="s">
        <v>36</v>
      </c>
      <c r="D60" s="25" t="str">
        <f>"|cffff00ff"&amp;辅助表格!A103&amp;"|r"</f>
        <v>|cffff00ff精良防具LV4|r</v>
      </c>
      <c r="E60" s="27" t="str">
        <f>"|cffff9900属性|r|n"&amp;"|cff00ccff〇|r"&amp;辅助表格!C103&amp;"|n"&amp;"|cff00ccff〇|r"&amp;辅助表格!D103&amp;"|n"&amp;"|cff00ccff〇|r"&amp;辅助表格!F103&amp;"|n"&amp;"|cff00ccff〇|r"&amp;辅助表格!G103&amp;"|n"&amp;"|cff00ccff〇|r"&amp;辅助表格!E103</f>
        <v>|cffff9900属性|r|n|cff00ccff〇|r护甲+3|n|cff00ccff〇|r生命值+6300|n|cff00ccff〇|r法力回复+3.6%|n|cff00ccff〇|r闪避+4.5%|n|cff00ccff〇|r生命回复+1.8%</v>
      </c>
      <c r="F60" s="14" t="str">
        <f t="shared" si="0"/>
        <v>|cffff00ff精良防具LV4|r</v>
      </c>
      <c r="G60" s="20" t="str">
        <f t="shared" si="1"/>
        <v>|cffff9900属性|r|n|cff00ccff〇|r护甲+3|n|cff00ccff〇|r生命值+6300|n|cff00ccff〇|r法力回复+3.6%|n|cff00ccff〇|r闪避+4.5%|n|cff00ccff〇|r生命回复+1.8%</v>
      </c>
      <c r="T60" s="25">
        <v>100</v>
      </c>
      <c r="Y60" s="25">
        <v>1</v>
      </c>
      <c r="AH60" s="25">
        <v>0</v>
      </c>
    </row>
    <row r="61" customHeight="1" spans="2:34">
      <c r="B61" s="25" t="s">
        <v>279</v>
      </c>
      <c r="C61" s="25" t="s">
        <v>36</v>
      </c>
      <c r="D61" s="25" t="str">
        <f>"|cffff00ff"&amp;辅助表格!A104&amp;"|r"</f>
        <v>|cffff00ff精良防具LV5|r</v>
      </c>
      <c r="E61" s="27" t="str">
        <f>"|cffff9900属性|r|n"&amp;"|cff00ccff〇|r"&amp;辅助表格!C104&amp;"|n"&amp;"|cff00ccff〇|r"&amp;辅助表格!D104&amp;"|n"&amp;"|cff00ccff〇|r"&amp;辅助表格!F104&amp;"|n"&amp;"|cff00ccff〇|r"&amp;辅助表格!G104&amp;"|n"&amp;"|cff00ccff〇|r"&amp;辅助表格!E104</f>
        <v>|cffff9900属性|r|n|cff00ccff〇|r护甲+3|n|cff00ccff〇|r生命值+7200|n|cff00ccff〇|r法力回复+4%|n|cff00ccff〇|r闪避+5%|n|cff00ccff〇|r生命回复+2%</v>
      </c>
      <c r="F61" s="14" t="str">
        <f t="shared" si="0"/>
        <v>|cffff00ff精良防具LV5|r</v>
      </c>
      <c r="G61" s="20" t="str">
        <f t="shared" si="1"/>
        <v>|cffff9900属性|r|n|cff00ccff〇|r护甲+3|n|cff00ccff〇|r生命值+7200|n|cff00ccff〇|r法力回复+4%|n|cff00ccff〇|r闪避+5%|n|cff00ccff〇|r生命回复+2%</v>
      </c>
      <c r="T61" s="25">
        <v>100</v>
      </c>
      <c r="Y61" s="25">
        <v>1</v>
      </c>
      <c r="AH61" s="25">
        <v>0</v>
      </c>
    </row>
    <row r="62" customHeight="1" spans="2:34">
      <c r="B62" s="25" t="s">
        <v>279</v>
      </c>
      <c r="C62" s="25" t="s">
        <v>36</v>
      </c>
      <c r="D62" s="25" t="str">
        <f>"|cffff6600"&amp;辅助表格!A106&amp;"|r"</f>
        <v>|cffff6600极品防具LV1|r</v>
      </c>
      <c r="E62" s="27" t="str">
        <f>"|cffff9900属性|r|n"&amp;"|cff00ccff〇|r"&amp;辅助表格!C106&amp;"|n"&amp;"|cff00ccff〇|r"&amp;辅助表格!D106&amp;"|n"&amp;"|cff00ccff〇|r"&amp;辅助表格!E106&amp;"|n"&amp;"|cff00ccff〇|r"&amp;辅助表格!F106&amp;"|n"&amp;"|cff00ccff〇|r"&amp;辅助表格!G106&amp;"|n"&amp;"|cff00ccff〇|r"&amp;辅助表格!H106</f>
        <v>|cffff9900属性|r|n|cff00ccff〇|r护甲+4|n|cff00ccff〇|r生命值+10800|n|cff00ccff〇|r生命回复+2.3%|n|cff00ccff〇|r法力回复+4.6%|n|cff00ccff〇|r闪避+6%|n|cff00ccff〇|r吸血+5%</v>
      </c>
      <c r="F62" s="14" t="str">
        <f t="shared" si="0"/>
        <v>|cffff6600极品防具LV1|r</v>
      </c>
      <c r="G62" s="20" t="str">
        <f t="shared" si="1"/>
        <v>|cffff9900属性|r|n|cff00ccff〇|r护甲+4|n|cff00ccff〇|r生命值+10800|n|cff00ccff〇|r生命回复+2.3%|n|cff00ccff〇|r法力回复+4.6%|n|cff00ccff〇|r闪避+6%|n|cff00ccff〇|r吸血+5%</v>
      </c>
      <c r="T62" s="25">
        <v>100</v>
      </c>
      <c r="Y62" s="25">
        <v>1</v>
      </c>
      <c r="AH62" s="25">
        <v>0</v>
      </c>
    </row>
    <row r="63" customHeight="1" spans="2:34">
      <c r="B63" s="25" t="s">
        <v>279</v>
      </c>
      <c r="C63" s="25" t="s">
        <v>36</v>
      </c>
      <c r="D63" s="25" t="str">
        <f>"|cffff6600"&amp;辅助表格!A107&amp;"|r"</f>
        <v>|cffff6600极品防具LV2|r</v>
      </c>
      <c r="E63" s="27" t="str">
        <f>"|cffff9900属性|r|n"&amp;"|cff00ccff〇|r"&amp;辅助表格!C107&amp;"|n"&amp;"|cff00ccff〇|r"&amp;辅助表格!D107&amp;"|n"&amp;"|cff00ccff〇|r"&amp;辅助表格!E107&amp;"|n"&amp;"|cff00ccff〇|r"&amp;辅助表格!F107&amp;"|n"&amp;"|cff00ccff〇|r"&amp;辅助表格!G107&amp;"|n"&amp;"|cff00ccff〇|r"&amp;辅助表格!H107</f>
        <v>|cffff9900属性|r|n|cff00ccff〇|r护甲+4|n|cff00ccff〇|r生命值+13500|n|cff00ccff〇|r生命回复+2.6%|n|cff00ccff〇|r法力回复+5.2%|n|cff00ccff〇|r闪避+7%|n|cff00ccff〇|r吸血+6%</v>
      </c>
      <c r="F63" s="14" t="str">
        <f t="shared" si="0"/>
        <v>|cffff6600极品防具LV2|r</v>
      </c>
      <c r="G63" s="20" t="str">
        <f t="shared" si="1"/>
        <v>|cffff9900属性|r|n|cff00ccff〇|r护甲+4|n|cff00ccff〇|r生命值+13500|n|cff00ccff〇|r生命回复+2.6%|n|cff00ccff〇|r法力回复+5.2%|n|cff00ccff〇|r闪避+7%|n|cff00ccff〇|r吸血+6%</v>
      </c>
      <c r="T63" s="25">
        <v>100</v>
      </c>
      <c r="Y63" s="25">
        <v>1</v>
      </c>
      <c r="AH63" s="25">
        <v>0</v>
      </c>
    </row>
    <row r="64" customHeight="1" spans="2:34">
      <c r="B64" s="25" t="s">
        <v>279</v>
      </c>
      <c r="C64" s="25" t="s">
        <v>36</v>
      </c>
      <c r="D64" s="25" t="str">
        <f>"|cffff6600"&amp;辅助表格!A108&amp;"|r"</f>
        <v>|cffff6600极品防具LV3|r</v>
      </c>
      <c r="E64" s="27" t="str">
        <f>"|cffff9900属性|r|n"&amp;"|cff00ccff〇|r"&amp;辅助表格!C108&amp;"|n"&amp;"|cff00ccff〇|r"&amp;辅助表格!D108&amp;"|n"&amp;"|cff00ccff〇|r"&amp;辅助表格!E108&amp;"|n"&amp;"|cff00ccff〇|r"&amp;辅助表格!F108&amp;"|n"&amp;"|cff00ccff〇|r"&amp;辅助表格!G108&amp;"|n"&amp;"|cff00ccff〇|r"&amp;辅助表格!H108</f>
        <v>|cffff9900属性|r|n|cff00ccff〇|r护甲+4|n|cff00ccff〇|r生命值+16200|n|cff00ccff〇|r生命回复+2.9%|n|cff00ccff〇|r法力回复+5.8%|n|cff00ccff〇|r闪避+8%|n|cff00ccff〇|r吸血+7%</v>
      </c>
      <c r="F64" s="14" t="str">
        <f t="shared" si="0"/>
        <v>|cffff6600极品防具LV3|r</v>
      </c>
      <c r="G64" s="20" t="str">
        <f t="shared" si="1"/>
        <v>|cffff9900属性|r|n|cff00ccff〇|r护甲+4|n|cff00ccff〇|r生命值+16200|n|cff00ccff〇|r生命回复+2.9%|n|cff00ccff〇|r法力回复+5.8%|n|cff00ccff〇|r闪避+8%|n|cff00ccff〇|r吸血+7%</v>
      </c>
      <c r="T64" s="25">
        <v>100</v>
      </c>
      <c r="Y64" s="25">
        <v>1</v>
      </c>
      <c r="AH64" s="25">
        <v>0</v>
      </c>
    </row>
    <row r="65" customHeight="1" spans="2:34">
      <c r="B65" s="25" t="s">
        <v>279</v>
      </c>
      <c r="C65" s="25" t="s">
        <v>36</v>
      </c>
      <c r="D65" s="25" t="str">
        <f>"|cffff6600"&amp;辅助表格!A109&amp;"|r"</f>
        <v>|cffff6600极品防具LV4|r</v>
      </c>
      <c r="E65" s="27" t="str">
        <f>"|cffff9900属性|r|n"&amp;"|cff00ccff〇|r"&amp;辅助表格!C109&amp;"|n"&amp;"|cff00ccff〇|r"&amp;辅助表格!D109&amp;"|n"&amp;"|cff00ccff〇|r"&amp;辅助表格!E109&amp;"|n"&amp;"|cff00ccff〇|r"&amp;辅助表格!F109&amp;"|n"&amp;"|cff00ccff〇|r"&amp;辅助表格!G109&amp;"|n"&amp;"|cff00ccff〇|r"&amp;辅助表格!H109</f>
        <v>|cffff9900属性|r|n|cff00ccff〇|r护甲+4|n|cff00ccff〇|r生命值+18900|n|cff00ccff〇|r生命回复+3.2%|n|cff00ccff〇|r法力回复+6.4%|n|cff00ccff〇|r闪避+9%|n|cff00ccff〇|r吸血+8%</v>
      </c>
      <c r="F65" s="14" t="str">
        <f t="shared" si="0"/>
        <v>|cffff6600极品防具LV4|r</v>
      </c>
      <c r="G65" s="20" t="str">
        <f t="shared" si="1"/>
        <v>|cffff9900属性|r|n|cff00ccff〇|r护甲+4|n|cff00ccff〇|r生命值+18900|n|cff00ccff〇|r生命回复+3.2%|n|cff00ccff〇|r法力回复+6.4%|n|cff00ccff〇|r闪避+9%|n|cff00ccff〇|r吸血+8%</v>
      </c>
      <c r="T65" s="25">
        <v>100</v>
      </c>
      <c r="Y65" s="25">
        <v>1</v>
      </c>
      <c r="AH65" s="25">
        <v>0</v>
      </c>
    </row>
    <row r="66" customHeight="1" spans="2:34">
      <c r="B66" s="25" t="s">
        <v>279</v>
      </c>
      <c r="C66" s="25" t="s">
        <v>36</v>
      </c>
      <c r="D66" s="25" t="str">
        <f>"|cffff6600"&amp;辅助表格!A110&amp;"|r"</f>
        <v>|cffff6600极品防具LV5|r</v>
      </c>
      <c r="E66" s="27" t="str">
        <f>"|cffff9900属性|r|n"&amp;"|cff00ccff〇|r"&amp;辅助表格!C110&amp;"|n"&amp;"|cff00ccff〇|r"&amp;辅助表格!D110&amp;"|n"&amp;"|cff00ccff〇|r"&amp;辅助表格!E110&amp;"|n"&amp;"|cff00ccff〇|r"&amp;辅助表格!F110&amp;"|n"&amp;"|cff00ccff〇|r"&amp;辅助表格!G110&amp;"|n"&amp;"|cff00ccff〇|r"&amp;辅助表格!H110</f>
        <v>|cffff9900属性|r|n|cff00ccff〇|r护甲+4|n|cff00ccff〇|r生命值+21600|n|cff00ccff〇|r生命回复+3.5%|n|cff00ccff〇|r法力回复+7%|n|cff00ccff〇|r闪避+10%|n|cff00ccff〇|r吸血+9%</v>
      </c>
      <c r="F66" s="14" t="str">
        <f t="shared" si="0"/>
        <v>|cffff6600极品防具LV5|r</v>
      </c>
      <c r="G66" s="20" t="str">
        <f t="shared" si="1"/>
        <v>|cffff9900属性|r|n|cff00ccff〇|r护甲+4|n|cff00ccff〇|r生命值+21600|n|cff00ccff〇|r生命回复+3.5%|n|cff00ccff〇|r法力回复+7%|n|cff00ccff〇|r闪避+10%|n|cff00ccff〇|r吸血+9%</v>
      </c>
      <c r="T66" s="25">
        <v>100</v>
      </c>
      <c r="Y66" s="25">
        <v>1</v>
      </c>
      <c r="AH66" s="25">
        <v>0</v>
      </c>
    </row>
    <row r="67" customHeight="1" spans="2:34">
      <c r="B67" s="25"/>
      <c r="C67" s="25"/>
      <c r="D67" s="25"/>
      <c r="E67" s="27"/>
      <c r="F67" s="14"/>
      <c r="T67" s="25">
        <v>100</v>
      </c>
      <c r="Y67" s="25">
        <v>1</v>
      </c>
      <c r="AH67" s="25">
        <v>0</v>
      </c>
    </row>
    <row r="68" customHeight="1" spans="2:25">
      <c r="B68" s="25"/>
      <c r="C68" s="25"/>
      <c r="D68" s="25"/>
      <c r="E68" s="27"/>
      <c r="F68" s="14"/>
      <c r="T68" s="25"/>
      <c r="Y68" s="25"/>
    </row>
    <row r="69" customHeight="1" spans="2:25">
      <c r="B69" s="25"/>
      <c r="C69" s="27"/>
      <c r="D69" s="25"/>
      <c r="E69" s="27"/>
      <c r="F69" s="14"/>
      <c r="T69" s="25"/>
      <c r="Y69" s="25"/>
    </row>
    <row r="70" customHeight="1" spans="2:25">
      <c r="B70" s="25"/>
      <c r="C70" s="27"/>
      <c r="D70" s="25"/>
      <c r="E70" s="27"/>
      <c r="F70" s="14"/>
      <c r="T70" s="25"/>
      <c r="Y70" s="25"/>
    </row>
    <row r="71" customHeight="1" spans="2:25">
      <c r="B71" s="25"/>
      <c r="C71" s="27"/>
      <c r="D71" s="25"/>
      <c r="E71" s="27"/>
      <c r="F71" s="14"/>
      <c r="T71" s="25"/>
      <c r="Y71" s="25"/>
    </row>
    <row r="72" customHeight="1" spans="2:25">
      <c r="B72" s="25"/>
      <c r="C72" s="27"/>
      <c r="D72" s="25"/>
      <c r="E72" s="27"/>
      <c r="F72" s="14"/>
      <c r="T72" s="25"/>
      <c r="Y72" s="25"/>
    </row>
    <row r="73" customHeight="1" spans="2:25">
      <c r="B73" s="25"/>
      <c r="C73" s="27"/>
      <c r="D73" s="25"/>
      <c r="E73" s="27"/>
      <c r="F73" s="14"/>
      <c r="T73" s="25"/>
      <c r="Y73" s="25"/>
    </row>
    <row r="74" customHeight="1" spans="2:25">
      <c r="B74" s="25"/>
      <c r="C74" s="27"/>
      <c r="D74" s="25"/>
      <c r="E74" s="27"/>
      <c r="F74" s="14"/>
      <c r="T74" s="25"/>
      <c r="Y74" s="25"/>
    </row>
    <row r="75" customHeight="1" spans="2:25">
      <c r="B75" s="25"/>
      <c r="C75" s="27"/>
      <c r="F75" s="14"/>
      <c r="Y75" s="25"/>
    </row>
    <row r="76" customHeight="1" spans="2:25">
      <c r="B76" s="25"/>
      <c r="C76" s="27"/>
      <c r="F76" s="14"/>
      <c r="Y76" s="25"/>
    </row>
    <row r="77" customHeight="1" spans="2:25">
      <c r="B77" s="25"/>
      <c r="C77" s="27"/>
      <c r="F77" s="14"/>
      <c r="Y77" s="25"/>
    </row>
    <row r="78" customHeight="1" spans="2:25">
      <c r="B78" s="25"/>
      <c r="C78" s="27"/>
      <c r="F78" s="14"/>
      <c r="Y78" s="25"/>
    </row>
    <row r="79" customHeight="1" spans="2:25">
      <c r="B79" s="25"/>
      <c r="C79" s="27"/>
      <c r="F79" s="14"/>
      <c r="Y79" s="25"/>
    </row>
    <row r="80" customHeight="1" spans="2:25">
      <c r="B80" s="25"/>
      <c r="C80" s="27"/>
      <c r="F80" s="14"/>
      <c r="Y80" s="25"/>
    </row>
    <row r="81" customHeight="1" spans="2:25">
      <c r="B81" s="25"/>
      <c r="C81" s="27"/>
      <c r="F81" s="14"/>
      <c r="Y81" s="25"/>
    </row>
    <row r="82" customHeight="1" spans="2:25">
      <c r="B82" s="25"/>
      <c r="C82" s="27"/>
      <c r="F82" s="14"/>
      <c r="Y82" s="25"/>
    </row>
    <row r="83" customHeight="1" spans="2:25">
      <c r="B83" s="25"/>
      <c r="C83" s="27"/>
      <c r="F83" s="14"/>
      <c r="Y83" s="25"/>
    </row>
    <row r="84" customHeight="1" spans="2:25">
      <c r="B84" s="25"/>
      <c r="C84" s="27"/>
      <c r="F84" s="14"/>
      <c r="Y84" s="25"/>
    </row>
    <row r="85" customHeight="1" spans="2:25">
      <c r="B85" s="25"/>
      <c r="C85" s="27"/>
      <c r="F85" s="14"/>
      <c r="Y85" s="25"/>
    </row>
    <row r="86" customHeight="1" spans="2:25">
      <c r="B86" s="25"/>
      <c r="C86" s="27"/>
      <c r="F86" s="14"/>
      <c r="Y86" s="25"/>
    </row>
    <row r="87" customHeight="1" spans="2:25">
      <c r="B87" s="25"/>
      <c r="C87" s="27"/>
      <c r="F87" s="14"/>
      <c r="Y87" s="25"/>
    </row>
    <row r="88" customHeight="1" spans="2:25">
      <c r="B88" s="25"/>
      <c r="C88" s="27"/>
      <c r="F88" s="14"/>
      <c r="Y88" s="25"/>
    </row>
    <row r="89" customHeight="1" spans="2:25">
      <c r="B89" s="25"/>
      <c r="C89" s="27"/>
      <c r="F89" s="14"/>
      <c r="Y89" s="25"/>
    </row>
    <row r="90" customHeight="1" spans="2:25">
      <c r="B90" s="25"/>
      <c r="C90" s="27"/>
      <c r="F90" s="14"/>
      <c r="Y90" s="25"/>
    </row>
    <row r="91" customHeight="1" spans="2:25">
      <c r="B91" s="25"/>
      <c r="C91" s="27"/>
      <c r="F91" s="14"/>
      <c r="Y91" s="25"/>
    </row>
    <row r="92" customHeight="1" spans="2:25">
      <c r="B92" s="25"/>
      <c r="C92" s="27"/>
      <c r="F92" s="14"/>
      <c r="Y92" s="25"/>
    </row>
    <row r="93" customHeight="1" spans="2:25">
      <c r="B93" s="25"/>
      <c r="C93" s="27"/>
      <c r="F93" s="14"/>
      <c r="Y93" s="25"/>
    </row>
    <row r="94" customHeight="1" spans="2:25">
      <c r="B94" s="25"/>
      <c r="C94" s="27"/>
      <c r="F94" s="14"/>
      <c r="Y94" s="25"/>
    </row>
    <row r="95" customHeight="1" spans="2:25">
      <c r="B95" s="25"/>
      <c r="C95" s="27"/>
      <c r="F95" s="14"/>
      <c r="Y95" s="25"/>
    </row>
    <row r="96" customHeight="1" spans="2:25">
      <c r="B96" s="25"/>
      <c r="C96" s="27"/>
      <c r="F96" s="14"/>
      <c r="Y96" s="25"/>
    </row>
    <row r="97" customHeight="1" spans="2:25">
      <c r="B97" s="25"/>
      <c r="C97" s="27"/>
      <c r="F97" s="14"/>
      <c r="Y97" s="25"/>
    </row>
    <row r="98" customHeight="1" spans="2:25">
      <c r="B98" s="25"/>
      <c r="C98" s="27"/>
      <c r="F98" s="14"/>
      <c r="Y98" s="25"/>
    </row>
    <row r="99" customHeight="1" spans="2:25">
      <c r="B99" s="25"/>
      <c r="C99" s="27"/>
      <c r="F99" s="14"/>
      <c r="Y99" s="25"/>
    </row>
    <row r="100" customHeight="1" spans="2:25">
      <c r="B100" s="25"/>
      <c r="C100" s="27"/>
      <c r="F100" s="14"/>
      <c r="Y100" s="25"/>
    </row>
    <row r="101" customHeight="1" spans="2:25">
      <c r="B101" s="25"/>
      <c r="C101" s="27"/>
      <c r="F101" s="14"/>
      <c r="Y101" s="25"/>
    </row>
    <row r="102" customHeight="1" spans="2:25">
      <c r="B102" s="25"/>
      <c r="C102" s="27"/>
      <c r="F102" s="14"/>
      <c r="Y102" s="25"/>
    </row>
    <row r="103" customHeight="1" spans="2:25">
      <c r="B103" s="25"/>
      <c r="C103" s="27"/>
      <c r="F103" s="14"/>
      <c r="Y103" s="25"/>
    </row>
    <row r="104" customHeight="1" spans="2:25">
      <c r="B104" s="25"/>
      <c r="C104" s="27"/>
      <c r="F104" s="14"/>
      <c r="Y104" s="25"/>
    </row>
    <row r="105" customHeight="1" spans="2:25">
      <c r="B105" s="25"/>
      <c r="C105" s="27"/>
      <c r="F105" s="14"/>
      <c r="Y105" s="25"/>
    </row>
    <row r="106" customHeight="1" spans="2:25">
      <c r="B106" s="25"/>
      <c r="C106" s="27"/>
      <c r="F106" s="14"/>
      <c r="Y106" s="25"/>
    </row>
    <row r="107" customHeight="1" spans="2:25">
      <c r="B107" s="25"/>
      <c r="C107" s="27"/>
      <c r="F107" s="14"/>
      <c r="Y107" s="25"/>
    </row>
    <row r="108" customHeight="1" spans="2:25">
      <c r="B108" s="25"/>
      <c r="C108" s="27"/>
      <c r="F108" s="14"/>
      <c r="Y108" s="25"/>
    </row>
    <row r="109" customHeight="1" spans="2:25">
      <c r="B109" s="25"/>
      <c r="C109" s="27"/>
      <c r="F109" s="14"/>
      <c r="Y109" s="25"/>
    </row>
    <row r="110" customHeight="1" spans="2:25">
      <c r="B110" s="25"/>
      <c r="C110" s="27"/>
      <c r="F110" s="14"/>
      <c r="Y110" s="25"/>
    </row>
    <row r="111" customHeight="1" spans="2:25">
      <c r="B111" s="25"/>
      <c r="C111" s="27"/>
      <c r="F111" s="14"/>
      <c r="Y111" s="25"/>
    </row>
    <row r="112" customHeight="1" spans="2:25">
      <c r="B112" s="25"/>
      <c r="C112" s="27"/>
      <c r="F112" s="14"/>
      <c r="Y112" s="25"/>
    </row>
    <row r="113" customHeight="1" spans="2:25">
      <c r="B113" s="25"/>
      <c r="C113" s="27"/>
      <c r="F113" s="14"/>
      <c r="Y113" s="25"/>
    </row>
    <row r="114" customHeight="1" spans="2:25">
      <c r="B114" s="25"/>
      <c r="C114" s="27"/>
      <c r="F114" s="14"/>
      <c r="Y114" s="25"/>
    </row>
    <row r="115" customHeight="1" spans="2:25">
      <c r="B115" s="25"/>
      <c r="C115" s="27"/>
      <c r="F115" s="14"/>
      <c r="Y115" s="25"/>
    </row>
    <row r="116" customHeight="1" spans="2:25">
      <c r="B116" s="25"/>
      <c r="C116" s="27"/>
      <c r="F116" s="14"/>
      <c r="Y116" s="25"/>
    </row>
    <row r="117" customHeight="1" spans="2:25">
      <c r="B117" s="25"/>
      <c r="C117" s="27"/>
      <c r="F117" s="14"/>
      <c r="Y117" s="25"/>
    </row>
    <row r="118" customHeight="1" spans="2:25">
      <c r="B118" s="25"/>
      <c r="C118" s="27"/>
      <c r="F118" s="14"/>
      <c r="Y118" s="25"/>
    </row>
    <row r="119" customHeight="1" spans="2:25">
      <c r="B119" s="25"/>
      <c r="C119" s="27"/>
      <c r="F119" s="14"/>
      <c r="Y119" s="25"/>
    </row>
    <row r="120" customHeight="1" spans="2:25">
      <c r="B120" s="25"/>
      <c r="C120" s="27"/>
      <c r="F120" s="14"/>
      <c r="Y120" s="25"/>
    </row>
    <row r="121" customHeight="1" spans="2:25">
      <c r="B121" s="25"/>
      <c r="C121" s="27"/>
      <c r="F121" s="14"/>
      <c r="Y121" s="25"/>
    </row>
    <row r="122" customHeight="1" spans="2:25">
      <c r="B122" s="25"/>
      <c r="C122" s="27"/>
      <c r="F122" s="14"/>
      <c r="Y122" s="25"/>
    </row>
    <row r="123" customHeight="1" spans="2:25">
      <c r="B123" s="25"/>
      <c r="C123" s="27"/>
      <c r="F123" s="14"/>
      <c r="Y123" s="25"/>
    </row>
    <row r="124" customHeight="1" spans="2:25">
      <c r="B124" s="25"/>
      <c r="C124" s="27"/>
      <c r="F124" s="14"/>
      <c r="Y124" s="25"/>
    </row>
    <row r="125" customHeight="1" spans="2:25">
      <c r="B125" s="25"/>
      <c r="C125" s="27"/>
      <c r="F125" s="14"/>
      <c r="Y125" s="25"/>
    </row>
    <row r="126" customHeight="1" spans="2:25">
      <c r="B126" s="25"/>
      <c r="C126" s="27"/>
      <c r="F126" s="14"/>
      <c r="Y126" s="25"/>
    </row>
    <row r="127" customHeight="1" spans="2:25">
      <c r="B127" s="25"/>
      <c r="C127" s="27"/>
      <c r="F127" s="14"/>
      <c r="Y127" s="25"/>
    </row>
    <row r="128" customHeight="1" spans="2:25">
      <c r="B128" s="25"/>
      <c r="C128" s="27"/>
      <c r="F128" s="14"/>
      <c r="Y128" s="25"/>
    </row>
    <row r="129" customHeight="1" spans="2:25">
      <c r="B129" s="25"/>
      <c r="C129" s="27"/>
      <c r="F129" s="14"/>
      <c r="Y129" s="25"/>
    </row>
    <row r="130" customHeight="1" spans="2:25">
      <c r="B130" s="25"/>
      <c r="C130" s="27"/>
      <c r="F130" s="14"/>
      <c r="Y130" s="25"/>
    </row>
    <row r="131" customHeight="1" spans="2:25">
      <c r="B131" s="25"/>
      <c r="C131" s="27"/>
      <c r="F131" s="14"/>
      <c r="Y131" s="25"/>
    </row>
    <row r="132" customHeight="1" spans="2:25">
      <c r="B132" s="25"/>
      <c r="C132" s="27"/>
      <c r="F132" s="14"/>
      <c r="Y132" s="25"/>
    </row>
    <row r="133" customHeight="1" spans="2:25">
      <c r="B133" s="25"/>
      <c r="C133" s="27"/>
      <c r="F133" s="14"/>
      <c r="Y133" s="25"/>
    </row>
    <row r="134" customHeight="1" spans="2:25">
      <c r="B134" s="25"/>
      <c r="C134" s="27"/>
      <c r="F134" s="14"/>
      <c r="Y134" s="25"/>
    </row>
    <row r="135" customHeight="1" spans="2:25">
      <c r="B135" s="25"/>
      <c r="C135" s="27"/>
      <c r="F135" s="14"/>
      <c r="Y135" s="25"/>
    </row>
    <row r="136" customHeight="1" spans="2:25">
      <c r="B136" s="25"/>
      <c r="C136" s="27"/>
      <c r="F136" s="14"/>
      <c r="Y136" s="25"/>
    </row>
    <row r="137" customHeight="1" spans="2:25">
      <c r="B137" s="25"/>
      <c r="C137" s="27"/>
      <c r="F137" s="14"/>
      <c r="Y137" s="25"/>
    </row>
    <row r="138" customHeight="1" spans="2:25">
      <c r="B138" s="25"/>
      <c r="C138" s="27"/>
      <c r="F138" s="14"/>
      <c r="Y138" s="25"/>
    </row>
    <row r="139" customHeight="1" spans="2:25">
      <c r="B139" s="25"/>
      <c r="C139" s="27"/>
      <c r="F139" s="14"/>
      <c r="Y139" s="25"/>
    </row>
    <row r="140" customHeight="1" spans="2:25">
      <c r="B140" s="25"/>
      <c r="C140" s="27"/>
      <c r="F140" s="14"/>
      <c r="Y140" s="25"/>
    </row>
    <row r="141" customHeight="1" spans="2:25">
      <c r="B141" s="25"/>
      <c r="C141" s="27"/>
      <c r="F141" s="14"/>
      <c r="Y141" s="25"/>
    </row>
    <row r="142" customHeight="1" spans="2:25">
      <c r="B142" s="25"/>
      <c r="C142" s="27"/>
      <c r="F142" s="14"/>
      <c r="Y142" s="25"/>
    </row>
    <row r="143" customHeight="1" spans="2:25">
      <c r="B143" s="25"/>
      <c r="C143" s="27"/>
      <c r="F143" s="14"/>
      <c r="Y143" s="25"/>
    </row>
    <row r="144" customHeight="1" spans="2:25">
      <c r="B144" s="25"/>
      <c r="C144" s="27"/>
      <c r="F144" s="14"/>
      <c r="Y144" s="25"/>
    </row>
    <row r="145" customHeight="1" spans="2:25">
      <c r="B145" s="25"/>
      <c r="C145" s="27"/>
      <c r="F145" s="14"/>
      <c r="Y145" s="25"/>
    </row>
    <row r="146" customHeight="1" spans="2:25">
      <c r="B146" s="25"/>
      <c r="C146" s="27"/>
      <c r="F146" s="14"/>
      <c r="Y146" s="25"/>
    </row>
    <row r="147" customHeight="1" spans="2:25">
      <c r="B147" s="25"/>
      <c r="C147" s="27"/>
      <c r="F147" s="14"/>
      <c r="Y147" s="25"/>
    </row>
    <row r="148" customHeight="1" spans="2:25">
      <c r="B148" s="25"/>
      <c r="C148" s="27"/>
      <c r="F148" s="14"/>
      <c r="Y148" s="25"/>
    </row>
    <row r="149" customHeight="1" spans="2:25">
      <c r="B149" s="25"/>
      <c r="C149" s="27"/>
      <c r="F149" s="14"/>
      <c r="Y149" s="25"/>
    </row>
    <row r="150" customHeight="1" spans="2:25">
      <c r="B150" s="25"/>
      <c r="C150" s="27"/>
      <c r="F150" s="14"/>
      <c r="Y150" s="25"/>
    </row>
    <row r="151" customHeight="1" spans="2:25">
      <c r="B151" s="25"/>
      <c r="C151" s="27"/>
      <c r="F151" s="14"/>
      <c r="Y151" s="25"/>
    </row>
    <row r="152" customHeight="1" spans="2:25">
      <c r="B152" s="25"/>
      <c r="C152" s="27"/>
      <c r="F152" s="14"/>
      <c r="Y152" s="25"/>
    </row>
    <row r="153" customHeight="1" spans="2:25">
      <c r="B153" s="25"/>
      <c r="C153" s="27"/>
      <c r="F153" s="14"/>
      <c r="Y153" s="25"/>
    </row>
    <row r="154" customHeight="1" spans="2:25">
      <c r="B154" s="25"/>
      <c r="C154" s="27"/>
      <c r="F154" s="14"/>
      <c r="Y154" s="25"/>
    </row>
    <row r="155" customHeight="1" spans="2:25">
      <c r="B155" s="25"/>
      <c r="C155" s="27"/>
      <c r="F155" s="14"/>
      <c r="Y155" s="25"/>
    </row>
    <row r="156" customHeight="1" spans="2:25">
      <c r="B156" s="25"/>
      <c r="C156" s="27"/>
      <c r="F156" s="14"/>
      <c r="Y156" s="25"/>
    </row>
    <row r="157" s="15" customFormat="1" customHeight="1" spans="2:31">
      <c r="B157" s="30"/>
      <c r="C157" s="31"/>
      <c r="E157" s="17"/>
      <c r="F157" s="14"/>
      <c r="G157" s="17"/>
      <c r="L157" s="17"/>
      <c r="M157" s="17"/>
      <c r="T157" s="17"/>
      <c r="V157" s="17"/>
      <c r="W157" s="17"/>
      <c r="Y157" s="25"/>
      <c r="AE157" s="17"/>
    </row>
    <row r="158" customHeight="1" spans="2:25">
      <c r="B158" s="25"/>
      <c r="C158" s="27"/>
      <c r="F158" s="14"/>
      <c r="I158" s="15"/>
      <c r="Y158" s="25"/>
    </row>
    <row r="159" customHeight="1" spans="2:25">
      <c r="B159" s="25"/>
      <c r="C159" s="27"/>
      <c r="F159" s="14"/>
      <c r="I159" s="15"/>
      <c r="Y159" s="25"/>
    </row>
    <row r="160" customHeight="1" spans="2:25">
      <c r="B160" s="25"/>
      <c r="C160" s="27"/>
      <c r="F160" s="14"/>
      <c r="I160" s="15"/>
      <c r="Y160" s="25"/>
    </row>
    <row r="161" customHeight="1" spans="2:25">
      <c r="B161" s="25"/>
      <c r="C161" s="27"/>
      <c r="F161" s="14"/>
      <c r="I161" s="15"/>
      <c r="Y161" s="25"/>
    </row>
    <row r="162" customHeight="1" spans="2:25">
      <c r="B162" s="25"/>
      <c r="C162" s="27"/>
      <c r="F162" s="14"/>
      <c r="I162" s="15"/>
      <c r="Y162" s="25"/>
    </row>
    <row r="163" customHeight="1" spans="2:25">
      <c r="B163" s="25"/>
      <c r="C163" s="27"/>
      <c r="F163" s="14"/>
      <c r="I163" s="15"/>
      <c r="Y163" s="25"/>
    </row>
    <row r="164" customHeight="1" spans="2:25">
      <c r="B164" s="25"/>
      <c r="C164" s="27"/>
      <c r="F164" s="14"/>
      <c r="I164" s="15"/>
      <c r="Y164" s="25"/>
    </row>
    <row r="165" customHeight="1" spans="2:25">
      <c r="B165" s="25"/>
      <c r="C165" s="27"/>
      <c r="F165" s="14"/>
      <c r="I165" s="15"/>
      <c r="Y165" s="25"/>
    </row>
    <row r="166" customHeight="1" spans="2:25">
      <c r="B166" s="25"/>
      <c r="C166" s="27"/>
      <c r="F166" s="14"/>
      <c r="I166" s="15"/>
      <c r="Y166" s="25"/>
    </row>
    <row r="167" customHeight="1" spans="2:25">
      <c r="B167" s="25"/>
      <c r="C167" s="27"/>
      <c r="F167" s="14"/>
      <c r="I167" s="15"/>
      <c r="Y167" s="25"/>
    </row>
    <row r="168" customHeight="1" spans="2:25">
      <c r="B168" s="25"/>
      <c r="C168" s="27"/>
      <c r="F168" s="14"/>
      <c r="I168" s="15"/>
      <c r="Y168" s="25"/>
    </row>
    <row r="169" customHeight="1" spans="2:25">
      <c r="B169" s="25"/>
      <c r="C169" s="27"/>
      <c r="F169" s="14"/>
      <c r="I169" s="15"/>
      <c r="Y169" s="25"/>
    </row>
    <row r="170" customHeight="1" spans="2:25">
      <c r="B170" s="25"/>
      <c r="C170" s="27"/>
      <c r="F170" s="14"/>
      <c r="I170" s="15"/>
      <c r="Y170" s="25"/>
    </row>
    <row r="171" customHeight="1" spans="2:25">
      <c r="B171" s="25"/>
      <c r="C171" s="27"/>
      <c r="F171" s="14"/>
      <c r="I171" s="15"/>
      <c r="Y171" s="25"/>
    </row>
    <row r="172" customHeight="1" spans="2:25">
      <c r="B172" s="25"/>
      <c r="C172" s="27"/>
      <c r="F172" s="14"/>
      <c r="I172" s="15"/>
      <c r="Y172" s="25"/>
    </row>
    <row r="173" customHeight="1" spans="2:25">
      <c r="B173" s="25"/>
      <c r="C173" s="27"/>
      <c r="F173" s="14"/>
      <c r="I173" s="15"/>
      <c r="Y173" s="25"/>
    </row>
    <row r="174" customHeight="1" spans="2:25">
      <c r="B174" s="25"/>
      <c r="C174" s="27"/>
      <c r="F174" s="14"/>
      <c r="I174" s="15"/>
      <c r="Y174" s="25"/>
    </row>
    <row r="175" customHeight="1" spans="2:25">
      <c r="B175" s="25"/>
      <c r="C175" s="27"/>
      <c r="F175" s="14"/>
      <c r="I175" s="15"/>
      <c r="Y175" s="25"/>
    </row>
    <row r="176" customHeight="1" spans="2:25">
      <c r="B176" s="25"/>
      <c r="C176" s="27"/>
      <c r="F176" s="14"/>
      <c r="I176" s="15"/>
      <c r="Y176" s="25"/>
    </row>
    <row r="177" s="16" customFormat="1" customHeight="1" spans="2:31">
      <c r="B177" s="32"/>
      <c r="C177" s="33"/>
      <c r="F177" s="14"/>
      <c r="G177" s="17"/>
      <c r="L177" s="17"/>
      <c r="M177" s="17"/>
      <c r="T177" s="17"/>
      <c r="V177" s="17"/>
      <c r="W177" s="17"/>
      <c r="Y177" s="25"/>
      <c r="AE177" s="17"/>
    </row>
    <row r="178" customHeight="1" spans="2:25">
      <c r="B178" s="25"/>
      <c r="C178" s="27"/>
      <c r="E178" s="16"/>
      <c r="F178" s="14"/>
      <c r="I178" s="16"/>
      <c r="K178" s="16"/>
      <c r="Y178" s="25"/>
    </row>
    <row r="179" customHeight="1" spans="2:25">
      <c r="B179" s="25"/>
      <c r="C179" s="27"/>
      <c r="E179" s="16"/>
      <c r="F179" s="14"/>
      <c r="I179" s="16"/>
      <c r="K179" s="16"/>
      <c r="Y179" s="25"/>
    </row>
    <row r="180" customHeight="1" spans="2:25">
      <c r="B180" s="25"/>
      <c r="C180" s="27"/>
      <c r="E180" s="16"/>
      <c r="F180" s="14"/>
      <c r="I180" s="16"/>
      <c r="K180" s="16"/>
      <c r="Y180" s="25"/>
    </row>
    <row r="181" customHeight="1" spans="2:25">
      <c r="B181" s="25"/>
      <c r="C181" s="27"/>
      <c r="E181" s="16"/>
      <c r="F181" s="14"/>
      <c r="I181" s="16"/>
      <c r="K181" s="16"/>
      <c r="Y181" s="25"/>
    </row>
    <row r="182" customHeight="1" spans="2:25">
      <c r="B182" s="25"/>
      <c r="C182" s="27"/>
      <c r="E182" s="16"/>
      <c r="F182" s="14"/>
      <c r="I182" s="16"/>
      <c r="K182" s="16"/>
      <c r="Y182" s="25"/>
    </row>
    <row r="183" customHeight="1" spans="2:25">
      <c r="B183" s="25"/>
      <c r="C183" s="27"/>
      <c r="E183" s="16"/>
      <c r="F183" s="14"/>
      <c r="I183" s="16"/>
      <c r="K183" s="16"/>
      <c r="Y183" s="25"/>
    </row>
    <row r="184" customHeight="1" spans="2:25">
      <c r="B184" s="25"/>
      <c r="C184" s="27"/>
      <c r="E184" s="16"/>
      <c r="F184" s="14"/>
      <c r="I184" s="16"/>
      <c r="K184" s="16"/>
      <c r="Y184" s="25"/>
    </row>
    <row r="185" customHeight="1" spans="2:25">
      <c r="B185" s="25"/>
      <c r="C185" s="27"/>
      <c r="E185" s="16"/>
      <c r="F185" s="14"/>
      <c r="I185" s="16"/>
      <c r="K185" s="16"/>
      <c r="Y185" s="25"/>
    </row>
    <row r="186" customHeight="1" spans="2:25">
      <c r="B186" s="25"/>
      <c r="C186" s="27"/>
      <c r="E186" s="16"/>
      <c r="F186" s="14"/>
      <c r="I186" s="16"/>
      <c r="K186" s="16"/>
      <c r="Y186" s="25"/>
    </row>
    <row r="187" customHeight="1" spans="2:25">
      <c r="B187" s="25"/>
      <c r="C187" s="27"/>
      <c r="E187" s="16"/>
      <c r="F187" s="14"/>
      <c r="I187" s="16"/>
      <c r="K187" s="16"/>
      <c r="Y187" s="25"/>
    </row>
    <row r="188" customHeight="1" spans="2:25">
      <c r="B188" s="25"/>
      <c r="C188" s="27"/>
      <c r="E188" s="16"/>
      <c r="F188" s="14"/>
      <c r="I188" s="16"/>
      <c r="K188" s="16"/>
      <c r="Y188" s="25"/>
    </row>
    <row r="189" customHeight="1" spans="2:25">
      <c r="B189" s="25"/>
      <c r="C189" s="27"/>
      <c r="E189" s="16"/>
      <c r="F189" s="14"/>
      <c r="I189" s="16"/>
      <c r="K189" s="16"/>
      <c r="Y189" s="25"/>
    </row>
    <row r="190" customHeight="1" spans="2:25">
      <c r="B190" s="25"/>
      <c r="C190" s="27"/>
      <c r="E190" s="16"/>
      <c r="F190" s="14"/>
      <c r="I190" s="16"/>
      <c r="K190" s="16"/>
      <c r="Y190" s="25"/>
    </row>
    <row r="191" customHeight="1" spans="2:25">
      <c r="B191" s="25"/>
      <c r="C191" s="27"/>
      <c r="E191" s="16"/>
      <c r="F191" s="14"/>
      <c r="I191" s="16"/>
      <c r="K191" s="16"/>
      <c r="Y191" s="25"/>
    </row>
    <row r="192" customHeight="1" spans="2:25">
      <c r="B192" s="25"/>
      <c r="C192" s="27"/>
      <c r="E192" s="16"/>
      <c r="F192" s="14"/>
      <c r="I192" s="16"/>
      <c r="K192" s="16"/>
      <c r="Y192" s="25"/>
    </row>
    <row r="193" customHeight="1" spans="2:25">
      <c r="B193" s="25"/>
      <c r="C193" s="27"/>
      <c r="E193" s="16"/>
      <c r="F193" s="14"/>
      <c r="I193" s="16"/>
      <c r="K193" s="16"/>
      <c r="Y193" s="25"/>
    </row>
    <row r="194" customHeight="1" spans="2:25">
      <c r="B194" s="25"/>
      <c r="C194" s="27"/>
      <c r="E194" s="16"/>
      <c r="F194" s="14"/>
      <c r="I194" s="16"/>
      <c r="K194" s="16"/>
      <c r="Y194" s="25"/>
    </row>
    <row r="195" customHeight="1" spans="2:25">
      <c r="B195" s="25"/>
      <c r="C195" s="27"/>
      <c r="E195" s="16"/>
      <c r="F195" s="14"/>
      <c r="I195" s="16"/>
      <c r="K195" s="16"/>
      <c r="Y195" s="25"/>
    </row>
    <row r="196" customHeight="1" spans="2:25">
      <c r="B196" s="25"/>
      <c r="C196" s="27"/>
      <c r="E196" s="16"/>
      <c r="F196" s="14"/>
      <c r="I196" s="16"/>
      <c r="K196" s="16"/>
      <c r="Y196" s="25"/>
    </row>
    <row r="197" customHeight="1" spans="2:3">
      <c r="B197" s="25"/>
      <c r="C197" s="27"/>
    </row>
    <row r="198" customHeight="1" spans="2:3">
      <c r="B198" s="25"/>
      <c r="C198" s="27"/>
    </row>
    <row r="199" customHeight="1" spans="2:3">
      <c r="B199" s="25"/>
      <c r="C199" s="27"/>
    </row>
    <row r="200" customHeight="1" spans="2:3">
      <c r="B200" s="25"/>
      <c r="C200" s="27"/>
    </row>
    <row r="201" customHeight="1" spans="2:3">
      <c r="B201" s="25"/>
      <c r="C201" s="27"/>
    </row>
    <row r="202" customHeight="1" spans="2:3">
      <c r="B202" s="25"/>
      <c r="C202" s="27"/>
    </row>
    <row r="203" customHeight="1" spans="2:3">
      <c r="B203" s="25"/>
      <c r="C203" s="27"/>
    </row>
    <row r="204" customHeight="1" spans="2:3">
      <c r="B204" s="25"/>
      <c r="C204" s="27"/>
    </row>
    <row r="205" customHeight="1" spans="2:3">
      <c r="B205" s="25"/>
      <c r="C205" s="27"/>
    </row>
    <row r="206" customHeight="1" spans="2:3">
      <c r="B206" s="25"/>
      <c r="C206" s="27"/>
    </row>
    <row r="207" customHeight="1" spans="2:3">
      <c r="B207" s="25"/>
      <c r="C207" s="27"/>
    </row>
    <row r="208" customHeight="1" spans="2:3">
      <c r="B208" s="25"/>
      <c r="C208" s="27"/>
    </row>
    <row r="209" customHeight="1" spans="2:3">
      <c r="B209" s="25"/>
      <c r="C209" s="27"/>
    </row>
    <row r="210" customHeight="1" spans="2:3">
      <c r="B210" s="25"/>
      <c r="C210" s="27"/>
    </row>
    <row r="211" customHeight="1" spans="2:3">
      <c r="B211" s="25"/>
      <c r="C211" s="27"/>
    </row>
    <row r="212" customHeight="1" spans="2:3">
      <c r="B212" s="25"/>
      <c r="C212" s="27"/>
    </row>
    <row r="213" customHeight="1" spans="2:3">
      <c r="B213" s="25"/>
      <c r="C213" s="27"/>
    </row>
    <row r="214" customHeight="1" spans="2:3">
      <c r="B214" s="25"/>
      <c r="C214" s="27"/>
    </row>
    <row r="215" customHeight="1" spans="2:3">
      <c r="B215" s="25"/>
      <c r="C215" s="27"/>
    </row>
    <row r="216" customHeight="1" spans="2:3">
      <c r="B216" s="25"/>
      <c r="C216" s="27"/>
    </row>
    <row r="217" customHeight="1" spans="2:3">
      <c r="B217" s="25"/>
      <c r="C217" s="27"/>
    </row>
    <row r="218" customHeight="1" spans="2:3">
      <c r="B218" s="25"/>
      <c r="C218" s="27"/>
    </row>
    <row r="219" customHeight="1" spans="2:3">
      <c r="B219" s="25"/>
      <c r="C219" s="27"/>
    </row>
    <row r="220" customHeight="1" spans="2:3">
      <c r="B220" s="25"/>
      <c r="C220" s="27"/>
    </row>
    <row r="221" customHeight="1" spans="2:3">
      <c r="B221" s="25"/>
      <c r="C221" s="27"/>
    </row>
    <row r="222" customHeight="1" spans="2:3">
      <c r="B222" s="25"/>
      <c r="C222" s="27"/>
    </row>
    <row r="223" customHeight="1" spans="2:3">
      <c r="B223" s="25"/>
      <c r="C223" s="27"/>
    </row>
    <row r="224" customHeight="1" spans="2:3">
      <c r="B224" s="25"/>
      <c r="C224" s="27"/>
    </row>
    <row r="225" customHeight="1" spans="2:3">
      <c r="B225" s="25"/>
      <c r="C225" s="27"/>
    </row>
    <row r="226" customHeight="1" spans="2:3">
      <c r="B226" s="25"/>
      <c r="C226" s="27"/>
    </row>
    <row r="227" customHeight="1" spans="2:3">
      <c r="B227" s="25"/>
      <c r="C227" s="27"/>
    </row>
    <row r="228" customHeight="1" spans="2:3">
      <c r="B228" s="25"/>
      <c r="C228" s="27"/>
    </row>
    <row r="229" customHeight="1" spans="2:3">
      <c r="B229" s="25"/>
      <c r="C229" s="27"/>
    </row>
    <row r="230" customHeight="1" spans="2:3">
      <c r="B230" s="25"/>
      <c r="C230" s="27"/>
    </row>
    <row r="231" customHeight="1" spans="2:3">
      <c r="B231" s="25"/>
      <c r="C231" s="27"/>
    </row>
    <row r="232" customHeight="1" spans="2:3">
      <c r="B232" s="25"/>
      <c r="C232" s="27"/>
    </row>
    <row r="233" customHeight="1" spans="2:3">
      <c r="B233" s="25"/>
      <c r="C233" s="27"/>
    </row>
    <row r="234" customHeight="1" spans="2:3">
      <c r="B234" s="25"/>
      <c r="C234" s="27"/>
    </row>
    <row r="235" customHeight="1" spans="2:3">
      <c r="B235" s="25"/>
      <c r="C235" s="27"/>
    </row>
    <row r="236" customHeight="1" spans="2:3">
      <c r="B236" s="25"/>
      <c r="C236" s="27"/>
    </row>
    <row r="237" customHeight="1" spans="2:3">
      <c r="B237" s="25"/>
      <c r="C237" s="27"/>
    </row>
    <row r="238" customHeight="1" spans="2:3">
      <c r="B238" s="25"/>
      <c r="C238" s="27"/>
    </row>
    <row r="239" customHeight="1" spans="2:3">
      <c r="B239" s="25"/>
      <c r="C239" s="27"/>
    </row>
    <row r="240" customHeight="1" spans="2:3">
      <c r="B240" s="25"/>
      <c r="C240" s="27"/>
    </row>
    <row r="241" customHeight="1" spans="2:3">
      <c r="B241" s="25"/>
      <c r="C241" s="27"/>
    </row>
    <row r="242" customHeight="1" spans="2:3">
      <c r="B242" s="25"/>
      <c r="C242" s="27"/>
    </row>
    <row r="243" customHeight="1" spans="2:3">
      <c r="B243" s="25"/>
      <c r="C243" s="27"/>
    </row>
    <row r="244" customHeight="1" spans="2:3">
      <c r="B244" s="25"/>
      <c r="C244" s="27"/>
    </row>
    <row r="245" customHeight="1" spans="2:3">
      <c r="B245" s="25"/>
      <c r="C245" s="27"/>
    </row>
    <row r="246" customHeight="1" spans="2:3">
      <c r="B246" s="25"/>
      <c r="C246" s="27"/>
    </row>
    <row r="247" customHeight="1" spans="2:3">
      <c r="B247" s="25"/>
      <c r="C247" s="27"/>
    </row>
    <row r="248" customHeight="1" spans="2:3">
      <c r="B248" s="25"/>
      <c r="C248" s="27"/>
    </row>
    <row r="249" customHeight="1" spans="2:3">
      <c r="B249" s="25"/>
      <c r="C249" s="27"/>
    </row>
    <row r="250" customHeight="1" spans="2:3">
      <c r="B250" s="25"/>
      <c r="C250" s="27"/>
    </row>
    <row r="251" customHeight="1" spans="2:3">
      <c r="B251" s="25"/>
      <c r="C251" s="27"/>
    </row>
    <row r="252" customHeight="1" spans="2:3">
      <c r="B252" s="25"/>
      <c r="C252" s="27"/>
    </row>
    <row r="253" customHeight="1" spans="2:3">
      <c r="B253" s="25"/>
      <c r="C253" s="27"/>
    </row>
    <row r="254" customHeight="1" spans="2:3">
      <c r="B254" s="25"/>
      <c r="C254" s="27"/>
    </row>
    <row r="255" customHeight="1" spans="2:3">
      <c r="B255" s="25"/>
      <c r="C255" s="27"/>
    </row>
    <row r="256" customHeight="1" spans="2:3">
      <c r="B256" s="25"/>
      <c r="C256" s="27"/>
    </row>
    <row r="257" customHeight="1" spans="2:3">
      <c r="B257" s="25"/>
      <c r="C257" s="27"/>
    </row>
    <row r="258" customHeight="1" spans="2:3">
      <c r="B258" s="25"/>
      <c r="C258" s="27"/>
    </row>
    <row r="259" customHeight="1" spans="2:3">
      <c r="B259" s="25"/>
      <c r="C259" s="27"/>
    </row>
    <row r="260" customHeight="1" spans="2:3">
      <c r="B260" s="25"/>
      <c r="C260" s="27"/>
    </row>
    <row r="261" customHeight="1" spans="2:3">
      <c r="B261" s="25"/>
      <c r="C261" s="27"/>
    </row>
    <row r="262" customHeight="1" spans="2:3">
      <c r="B262" s="25"/>
      <c r="C262" s="27"/>
    </row>
    <row r="263" customHeight="1" spans="2:3">
      <c r="B263" s="25"/>
      <c r="C263" s="27"/>
    </row>
    <row r="264" customHeight="1" spans="2:3">
      <c r="B264" s="25"/>
      <c r="C264" s="27"/>
    </row>
    <row r="265" customHeight="1" spans="2:3">
      <c r="B265" s="25"/>
      <c r="C265" s="27"/>
    </row>
    <row r="266" customHeight="1" spans="2:3">
      <c r="B266" s="25"/>
      <c r="C266" s="27"/>
    </row>
    <row r="267" customHeight="1" spans="2:3">
      <c r="B267" s="25"/>
      <c r="C267" s="27"/>
    </row>
    <row r="268" customHeight="1" spans="2:3">
      <c r="B268" s="25"/>
      <c r="C268" s="27"/>
    </row>
    <row r="269" customHeight="1" spans="2:3">
      <c r="B269" s="25"/>
      <c r="C269" s="27"/>
    </row>
    <row r="270" customHeight="1" spans="2:3">
      <c r="B270" s="25"/>
      <c r="C270" s="27"/>
    </row>
    <row r="271" customHeight="1" spans="2:3">
      <c r="B271" s="25"/>
      <c r="C271" s="27"/>
    </row>
    <row r="272" customHeight="1" spans="2:3">
      <c r="B272" s="25"/>
      <c r="C272" s="27"/>
    </row>
    <row r="273" customHeight="1" spans="2:3">
      <c r="B273" s="25"/>
      <c r="C273" s="27"/>
    </row>
    <row r="274" customHeight="1" spans="2:3">
      <c r="B274" s="25"/>
      <c r="C274" s="27"/>
    </row>
    <row r="275" customHeight="1" spans="2:3">
      <c r="B275" s="25"/>
      <c r="C275" s="27"/>
    </row>
    <row r="276" customHeight="1" spans="2:3">
      <c r="B276" s="25"/>
      <c r="C276" s="27"/>
    </row>
    <row r="277" customHeight="1" spans="2:3">
      <c r="B277" s="25"/>
      <c r="C277" s="27"/>
    </row>
    <row r="278" customHeight="1" spans="2:3">
      <c r="B278" s="25"/>
      <c r="C278" s="27"/>
    </row>
    <row r="279" customHeight="1" spans="2:3">
      <c r="B279" s="25"/>
      <c r="C279" s="27"/>
    </row>
    <row r="280" customHeight="1" spans="2:3">
      <c r="B280" s="25"/>
      <c r="C280" s="27"/>
    </row>
    <row r="281" customHeight="1" spans="2:3">
      <c r="B281" s="25" t="s">
        <v>280</v>
      </c>
      <c r="C281" s="27" t="s">
        <v>281</v>
      </c>
    </row>
    <row r="282" customHeight="1" spans="2:3">
      <c r="B282" s="25" t="s">
        <v>280</v>
      </c>
      <c r="C282" s="27" t="s">
        <v>281</v>
      </c>
    </row>
    <row r="283" customHeight="1" spans="2:3">
      <c r="B283" s="25" t="s">
        <v>280</v>
      </c>
      <c r="C283" s="27" t="s">
        <v>281</v>
      </c>
    </row>
    <row r="284" customHeight="1" spans="2:3">
      <c r="B284" s="25" t="s">
        <v>280</v>
      </c>
      <c r="C284" s="27" t="s">
        <v>281</v>
      </c>
    </row>
    <row r="285" customHeight="1" spans="2:3">
      <c r="B285" s="25" t="s">
        <v>280</v>
      </c>
      <c r="C285" s="27" t="s">
        <v>281</v>
      </c>
    </row>
    <row r="286" customHeight="1" spans="2:3">
      <c r="B286" s="25" t="s">
        <v>280</v>
      </c>
      <c r="C286" s="27" t="s">
        <v>281</v>
      </c>
    </row>
    <row r="287" customHeight="1" spans="2:3">
      <c r="B287" s="25" t="s">
        <v>280</v>
      </c>
      <c r="C287" s="27" t="s">
        <v>281</v>
      </c>
    </row>
    <row r="288" customHeight="1" spans="2:3">
      <c r="B288" s="25" t="s">
        <v>280</v>
      </c>
      <c r="C288" s="27" t="s">
        <v>281</v>
      </c>
    </row>
    <row r="289" customHeight="1" spans="2:3">
      <c r="B289" s="25" t="s">
        <v>280</v>
      </c>
      <c r="C289" s="27" t="s">
        <v>281</v>
      </c>
    </row>
    <row r="290" customHeight="1" spans="2:3">
      <c r="B290" s="25" t="s">
        <v>280</v>
      </c>
      <c r="C290" s="27" t="s">
        <v>281</v>
      </c>
    </row>
    <row r="291" customHeight="1" spans="2:3">
      <c r="B291" s="25" t="s">
        <v>280</v>
      </c>
      <c r="C291" s="27" t="s">
        <v>281</v>
      </c>
    </row>
    <row r="292" customHeight="1" spans="2:3">
      <c r="B292" s="25" t="s">
        <v>280</v>
      </c>
      <c r="C292" s="27" t="s">
        <v>281</v>
      </c>
    </row>
    <row r="293" customHeight="1" spans="2:3">
      <c r="B293" s="25" t="s">
        <v>280</v>
      </c>
      <c r="C293" s="27" t="s">
        <v>281</v>
      </c>
    </row>
    <row r="294" customHeight="1" spans="2:3">
      <c r="B294" s="25" t="s">
        <v>280</v>
      </c>
      <c r="C294" s="27" t="s">
        <v>281</v>
      </c>
    </row>
    <row r="295" customHeight="1" spans="2:3">
      <c r="B295" s="25" t="s">
        <v>280</v>
      </c>
      <c r="C295" s="27" t="s">
        <v>281</v>
      </c>
    </row>
    <row r="296" customHeight="1" spans="2:3">
      <c r="B296" s="25" t="s">
        <v>280</v>
      </c>
      <c r="C296" s="27" t="s">
        <v>281</v>
      </c>
    </row>
    <row r="297" customHeight="1" spans="2:3">
      <c r="B297" s="25" t="s">
        <v>280</v>
      </c>
      <c r="C297" s="27" t="s">
        <v>281</v>
      </c>
    </row>
    <row r="298" customHeight="1" spans="2:3">
      <c r="B298" s="25" t="s">
        <v>280</v>
      </c>
      <c r="C298" s="27" t="s">
        <v>281</v>
      </c>
    </row>
    <row r="299" customHeight="1" spans="2:3">
      <c r="B299" s="25" t="s">
        <v>280</v>
      </c>
      <c r="C299" s="27" t="s">
        <v>281</v>
      </c>
    </row>
    <row r="300" customHeight="1" spans="2:3">
      <c r="B300" s="25" t="s">
        <v>280</v>
      </c>
      <c r="C300" s="27" t="s">
        <v>281</v>
      </c>
    </row>
    <row r="301" customHeight="1" spans="2:3">
      <c r="B301" s="25" t="s">
        <v>280</v>
      </c>
      <c r="C301" s="27" t="s">
        <v>281</v>
      </c>
    </row>
    <row r="302" customHeight="1" spans="2:3">
      <c r="B302" s="25" t="s">
        <v>280</v>
      </c>
      <c r="C302" s="27" t="s">
        <v>281</v>
      </c>
    </row>
    <row r="303" customHeight="1" spans="2:3">
      <c r="B303" s="25" t="s">
        <v>280</v>
      </c>
      <c r="C303" s="27" t="s">
        <v>281</v>
      </c>
    </row>
    <row r="304" customHeight="1" spans="2:3">
      <c r="B304" s="25" t="s">
        <v>280</v>
      </c>
      <c r="C304" s="27" t="s">
        <v>281</v>
      </c>
    </row>
    <row r="305" customHeight="1" spans="2:3">
      <c r="B305" s="25" t="s">
        <v>280</v>
      </c>
      <c r="C305" s="27" t="s">
        <v>281</v>
      </c>
    </row>
    <row r="306" customHeight="1" spans="2:3">
      <c r="B306" s="25" t="s">
        <v>280</v>
      </c>
      <c r="C306" s="27" t="s">
        <v>281</v>
      </c>
    </row>
    <row r="307" customHeight="1" spans="2:3">
      <c r="B307" s="25" t="s">
        <v>280</v>
      </c>
      <c r="C307" s="27" t="s">
        <v>281</v>
      </c>
    </row>
    <row r="308" customHeight="1" spans="2:3">
      <c r="B308" s="25" t="s">
        <v>280</v>
      </c>
      <c r="C308" s="27" t="s">
        <v>281</v>
      </c>
    </row>
    <row r="309" customHeight="1" spans="2:3">
      <c r="B309" s="25" t="s">
        <v>280</v>
      </c>
      <c r="C309" s="27" t="s">
        <v>281</v>
      </c>
    </row>
    <row r="310" customHeight="1" spans="2:3">
      <c r="B310" s="25" t="s">
        <v>280</v>
      </c>
      <c r="C310" s="27" t="s">
        <v>281</v>
      </c>
    </row>
    <row r="311" customHeight="1" spans="2:3">
      <c r="B311" s="25" t="s">
        <v>280</v>
      </c>
      <c r="C311" s="27" t="s">
        <v>281</v>
      </c>
    </row>
    <row r="312" customHeight="1" spans="2:3">
      <c r="B312" s="25" t="s">
        <v>280</v>
      </c>
      <c r="C312" s="27" t="s">
        <v>281</v>
      </c>
    </row>
    <row r="313" customHeight="1" spans="2:3">
      <c r="B313" s="25" t="s">
        <v>280</v>
      </c>
      <c r="C313" s="27" t="s">
        <v>281</v>
      </c>
    </row>
    <row r="314" customHeight="1" spans="2:3">
      <c r="B314" s="25" t="s">
        <v>280</v>
      </c>
      <c r="C314" s="27" t="s">
        <v>281</v>
      </c>
    </row>
    <row r="315" customHeight="1" spans="2:3">
      <c r="B315" s="25" t="s">
        <v>280</v>
      </c>
      <c r="C315" s="27" t="s">
        <v>281</v>
      </c>
    </row>
    <row r="316" customHeight="1" spans="2:3">
      <c r="B316" s="25" t="s">
        <v>280</v>
      </c>
      <c r="C316" s="27" t="s">
        <v>281</v>
      </c>
    </row>
    <row r="317" customHeight="1" spans="2:3">
      <c r="B317" s="25" t="s">
        <v>280</v>
      </c>
      <c r="C317" s="27" t="s">
        <v>281</v>
      </c>
    </row>
    <row r="318" customHeight="1" spans="2:3">
      <c r="B318" s="25" t="s">
        <v>280</v>
      </c>
      <c r="C318" s="27" t="s">
        <v>281</v>
      </c>
    </row>
    <row r="319" customHeight="1" spans="2:3">
      <c r="B319" s="25" t="s">
        <v>280</v>
      </c>
      <c r="C319" s="27" t="s">
        <v>281</v>
      </c>
    </row>
    <row r="320" customHeight="1" spans="2:3">
      <c r="B320" s="25" t="s">
        <v>280</v>
      </c>
      <c r="C320" s="27" t="s">
        <v>281</v>
      </c>
    </row>
    <row r="321" customHeight="1" spans="2:3">
      <c r="B321" s="25" t="s">
        <v>280</v>
      </c>
      <c r="C321" s="27" t="s">
        <v>281</v>
      </c>
    </row>
    <row r="322" customHeight="1" spans="2:3">
      <c r="B322" s="25" t="s">
        <v>280</v>
      </c>
      <c r="C322" s="27" t="s">
        <v>281</v>
      </c>
    </row>
    <row r="323" customHeight="1" spans="2:3">
      <c r="B323" s="25" t="s">
        <v>280</v>
      </c>
      <c r="C323" s="27" t="s">
        <v>281</v>
      </c>
    </row>
    <row r="324" customHeight="1" spans="2:3">
      <c r="B324" s="25" t="s">
        <v>280</v>
      </c>
      <c r="C324" s="27" t="s">
        <v>281</v>
      </c>
    </row>
    <row r="325" customHeight="1" spans="2:3">
      <c r="B325" s="25" t="s">
        <v>280</v>
      </c>
      <c r="C325" s="27" t="s">
        <v>281</v>
      </c>
    </row>
    <row r="326" customHeight="1" spans="2:3">
      <c r="B326" s="25" t="s">
        <v>280</v>
      </c>
      <c r="C326" s="27" t="s">
        <v>281</v>
      </c>
    </row>
    <row r="327" customHeight="1" spans="2:3">
      <c r="B327" s="25" t="s">
        <v>280</v>
      </c>
      <c r="C327" s="27" t="s">
        <v>281</v>
      </c>
    </row>
    <row r="328" customHeight="1" spans="2:3">
      <c r="B328" s="25" t="s">
        <v>280</v>
      </c>
      <c r="C328" s="27" t="s">
        <v>281</v>
      </c>
    </row>
    <row r="329" customHeight="1" spans="2:3">
      <c r="B329" s="25" t="s">
        <v>280</v>
      </c>
      <c r="C329" s="27" t="s">
        <v>281</v>
      </c>
    </row>
    <row r="330" customHeight="1" spans="2:3">
      <c r="B330" s="25" t="s">
        <v>280</v>
      </c>
      <c r="C330" s="27" t="s">
        <v>281</v>
      </c>
    </row>
    <row r="331" customHeight="1" spans="2:3">
      <c r="B331" s="25" t="s">
        <v>280</v>
      </c>
      <c r="C331" s="27" t="s">
        <v>281</v>
      </c>
    </row>
    <row r="332" customHeight="1" spans="2:3">
      <c r="B332" s="25" t="s">
        <v>280</v>
      </c>
      <c r="C332" s="27" t="s">
        <v>281</v>
      </c>
    </row>
    <row r="333" customHeight="1" spans="2:3">
      <c r="B333" s="25" t="s">
        <v>280</v>
      </c>
      <c r="C333" s="27" t="s">
        <v>281</v>
      </c>
    </row>
    <row r="334" customHeight="1" spans="2:3">
      <c r="B334" s="25" t="s">
        <v>280</v>
      </c>
      <c r="C334" s="27" t="s">
        <v>281</v>
      </c>
    </row>
    <row r="335" customHeight="1" spans="2:3">
      <c r="B335" s="25" t="s">
        <v>280</v>
      </c>
      <c r="C335" s="27" t="s">
        <v>281</v>
      </c>
    </row>
    <row r="336" customHeight="1" spans="2:3">
      <c r="B336" s="25" t="s">
        <v>280</v>
      </c>
      <c r="C336" s="27" t="s">
        <v>281</v>
      </c>
    </row>
    <row r="337" customHeight="1" spans="2:3">
      <c r="B337" s="25" t="s">
        <v>280</v>
      </c>
      <c r="C337" s="27" t="s">
        <v>281</v>
      </c>
    </row>
    <row r="338" customHeight="1" spans="2:3">
      <c r="B338" s="25" t="s">
        <v>280</v>
      </c>
      <c r="C338" s="27" t="s">
        <v>281</v>
      </c>
    </row>
    <row r="339" customHeight="1" spans="2:3">
      <c r="B339" s="25" t="s">
        <v>280</v>
      </c>
      <c r="C339" s="27" t="s">
        <v>281</v>
      </c>
    </row>
    <row r="340" customHeight="1" spans="2:3">
      <c r="B340" s="25" t="s">
        <v>280</v>
      </c>
      <c r="C340" s="27" t="s">
        <v>281</v>
      </c>
    </row>
    <row r="341" customHeight="1" spans="2:3">
      <c r="B341" s="25" t="s">
        <v>280</v>
      </c>
      <c r="C341" s="27" t="s">
        <v>281</v>
      </c>
    </row>
    <row r="342" customHeight="1" spans="2:3">
      <c r="B342" s="25" t="s">
        <v>280</v>
      </c>
      <c r="C342" s="27" t="s">
        <v>281</v>
      </c>
    </row>
    <row r="343" customHeight="1" spans="2:3">
      <c r="B343" s="25" t="s">
        <v>280</v>
      </c>
      <c r="C343" s="27" t="s">
        <v>281</v>
      </c>
    </row>
    <row r="344" customHeight="1" spans="2:3">
      <c r="B344" s="25" t="s">
        <v>280</v>
      </c>
      <c r="C344" s="27" t="s">
        <v>281</v>
      </c>
    </row>
    <row r="345" customHeight="1" spans="2:3">
      <c r="B345" s="25" t="s">
        <v>280</v>
      </c>
      <c r="C345" s="27" t="s">
        <v>281</v>
      </c>
    </row>
    <row r="346" customHeight="1" spans="2:3">
      <c r="B346" s="25" t="s">
        <v>280</v>
      </c>
      <c r="C346" s="27" t="s">
        <v>281</v>
      </c>
    </row>
    <row r="347" customHeight="1" spans="2:3">
      <c r="B347" s="25" t="s">
        <v>280</v>
      </c>
      <c r="C347" s="27" t="s">
        <v>281</v>
      </c>
    </row>
    <row r="348" customHeight="1" spans="2:3">
      <c r="B348" s="25" t="s">
        <v>280</v>
      </c>
      <c r="C348" s="27" t="s">
        <v>281</v>
      </c>
    </row>
    <row r="349" customHeight="1" spans="2:3">
      <c r="B349" s="25" t="s">
        <v>280</v>
      </c>
      <c r="C349" s="27" t="s">
        <v>281</v>
      </c>
    </row>
    <row r="350" customHeight="1" spans="2:3">
      <c r="B350" s="25" t="s">
        <v>280</v>
      </c>
      <c r="C350" s="27" t="s">
        <v>281</v>
      </c>
    </row>
    <row r="351" customHeight="1" spans="2:3">
      <c r="B351" s="25" t="s">
        <v>280</v>
      </c>
      <c r="C351" s="27" t="s">
        <v>281</v>
      </c>
    </row>
    <row r="352" customHeight="1" spans="2:3">
      <c r="B352" s="25" t="s">
        <v>280</v>
      </c>
      <c r="C352" s="27" t="s">
        <v>281</v>
      </c>
    </row>
    <row r="353" customHeight="1" spans="2:3">
      <c r="B353" s="25" t="s">
        <v>280</v>
      </c>
      <c r="C353" s="27" t="s">
        <v>281</v>
      </c>
    </row>
    <row r="354" customHeight="1" spans="2:3">
      <c r="B354" s="25" t="s">
        <v>280</v>
      </c>
      <c r="C354" s="27" t="s">
        <v>281</v>
      </c>
    </row>
    <row r="355" customHeight="1" spans="2:3">
      <c r="B355" s="25" t="s">
        <v>280</v>
      </c>
      <c r="C355" s="27" t="s">
        <v>281</v>
      </c>
    </row>
    <row r="356" customHeight="1" spans="2:3">
      <c r="B356" s="25" t="s">
        <v>280</v>
      </c>
      <c r="C356" s="27" t="s">
        <v>281</v>
      </c>
    </row>
    <row r="357" customHeight="1" spans="2:3">
      <c r="B357" s="25" t="s">
        <v>280</v>
      </c>
      <c r="C357" s="27" t="s">
        <v>281</v>
      </c>
    </row>
    <row r="358" customHeight="1" spans="2:3">
      <c r="B358" s="25" t="s">
        <v>280</v>
      </c>
      <c r="C358" s="27" t="s">
        <v>281</v>
      </c>
    </row>
    <row r="359" customHeight="1" spans="2:3">
      <c r="B359" s="25" t="s">
        <v>280</v>
      </c>
      <c r="C359" s="27" t="s">
        <v>281</v>
      </c>
    </row>
    <row r="360" customHeight="1" spans="2:3">
      <c r="B360" s="25" t="s">
        <v>280</v>
      </c>
      <c r="C360" s="27" t="s">
        <v>281</v>
      </c>
    </row>
    <row r="361" customHeight="1" spans="2:3">
      <c r="B361" s="25" t="s">
        <v>280</v>
      </c>
      <c r="C361" s="27" t="s">
        <v>281</v>
      </c>
    </row>
    <row r="362" customHeight="1" spans="2:3">
      <c r="B362" s="25" t="s">
        <v>280</v>
      </c>
      <c r="C362" s="27" t="s">
        <v>281</v>
      </c>
    </row>
    <row r="363" customHeight="1" spans="2:3">
      <c r="B363" s="25" t="s">
        <v>280</v>
      </c>
      <c r="C363" s="27" t="s">
        <v>281</v>
      </c>
    </row>
    <row r="364" customHeight="1" spans="2:3">
      <c r="B364" s="25" t="s">
        <v>280</v>
      </c>
      <c r="C364" s="27" t="s">
        <v>281</v>
      </c>
    </row>
    <row r="365" customHeight="1" spans="2:3">
      <c r="B365" s="25" t="s">
        <v>280</v>
      </c>
      <c r="C365" s="27" t="s">
        <v>281</v>
      </c>
    </row>
    <row r="366" customHeight="1" spans="2:3">
      <c r="B366" s="25" t="s">
        <v>280</v>
      </c>
      <c r="C366" s="27" t="s">
        <v>281</v>
      </c>
    </row>
    <row r="367" customHeight="1" spans="2:3">
      <c r="B367" s="25" t="s">
        <v>280</v>
      </c>
      <c r="C367" s="27" t="s">
        <v>281</v>
      </c>
    </row>
    <row r="368" customHeight="1" spans="2:3">
      <c r="B368" s="25" t="s">
        <v>280</v>
      </c>
      <c r="C368" s="27" t="s">
        <v>281</v>
      </c>
    </row>
    <row r="369" customHeight="1" spans="2:3">
      <c r="B369" s="25" t="s">
        <v>280</v>
      </c>
      <c r="C369" s="27" t="s">
        <v>281</v>
      </c>
    </row>
    <row r="370" customHeight="1" spans="2:3">
      <c r="B370" s="25" t="s">
        <v>280</v>
      </c>
      <c r="C370" s="27" t="s">
        <v>281</v>
      </c>
    </row>
    <row r="371" customHeight="1" spans="2:3">
      <c r="B371" s="25" t="s">
        <v>280</v>
      </c>
      <c r="C371" s="27" t="s">
        <v>281</v>
      </c>
    </row>
    <row r="372" customHeight="1" spans="2:3">
      <c r="B372" s="25" t="s">
        <v>280</v>
      </c>
      <c r="C372" s="27" t="s">
        <v>281</v>
      </c>
    </row>
    <row r="373" customHeight="1" spans="2:3">
      <c r="B373" s="25" t="s">
        <v>280</v>
      </c>
      <c r="C373" s="27" t="s">
        <v>281</v>
      </c>
    </row>
    <row r="374" customHeight="1" spans="2:3">
      <c r="B374" s="25" t="s">
        <v>280</v>
      </c>
      <c r="C374" s="27" t="s">
        <v>281</v>
      </c>
    </row>
    <row r="375" customHeight="1" spans="2:3">
      <c r="B375" s="25" t="s">
        <v>280</v>
      </c>
      <c r="C375" s="27" t="s">
        <v>281</v>
      </c>
    </row>
    <row r="376" customHeight="1" spans="2:3">
      <c r="B376" s="25" t="s">
        <v>280</v>
      </c>
      <c r="C376" s="27" t="s">
        <v>281</v>
      </c>
    </row>
    <row r="377" customHeight="1" spans="2:3">
      <c r="B377" s="25" t="s">
        <v>280</v>
      </c>
      <c r="C377" s="27" t="s">
        <v>281</v>
      </c>
    </row>
    <row r="378" customHeight="1" spans="2:3">
      <c r="B378" s="25" t="s">
        <v>280</v>
      </c>
      <c r="C378" s="27" t="s">
        <v>281</v>
      </c>
    </row>
    <row r="379" customHeight="1" spans="2:3">
      <c r="B379" s="25" t="s">
        <v>280</v>
      </c>
      <c r="C379" s="27" t="s">
        <v>281</v>
      </c>
    </row>
    <row r="380" customHeight="1" spans="2:3">
      <c r="B380" s="25" t="s">
        <v>280</v>
      </c>
      <c r="C380" s="27" t="s">
        <v>281</v>
      </c>
    </row>
    <row r="381" customHeight="1" spans="2:3">
      <c r="B381" s="25" t="s">
        <v>280</v>
      </c>
      <c r="C381" s="27" t="s">
        <v>281</v>
      </c>
    </row>
    <row r="382" customHeight="1" spans="2:3">
      <c r="B382" s="25" t="s">
        <v>280</v>
      </c>
      <c r="C382" s="27" t="s">
        <v>281</v>
      </c>
    </row>
    <row r="383" customHeight="1" spans="2:3">
      <c r="B383" s="25" t="s">
        <v>280</v>
      </c>
      <c r="C383" s="27" t="s">
        <v>281</v>
      </c>
    </row>
    <row r="384" customHeight="1" spans="2:3">
      <c r="B384" s="25" t="s">
        <v>280</v>
      </c>
      <c r="C384" s="27" t="s">
        <v>281</v>
      </c>
    </row>
    <row r="385" customHeight="1" spans="2:3">
      <c r="B385" s="25" t="s">
        <v>280</v>
      </c>
      <c r="C385" s="27" t="s">
        <v>281</v>
      </c>
    </row>
    <row r="386" customHeight="1" spans="2:3">
      <c r="B386" s="25" t="s">
        <v>280</v>
      </c>
      <c r="C386" s="27" t="s">
        <v>281</v>
      </c>
    </row>
    <row r="387" customHeight="1" spans="2:3">
      <c r="B387" s="25" t="s">
        <v>280</v>
      </c>
      <c r="C387" s="27" t="s">
        <v>281</v>
      </c>
    </row>
    <row r="388" customHeight="1" spans="2:3">
      <c r="B388" s="25" t="s">
        <v>280</v>
      </c>
      <c r="C388" s="27" t="s">
        <v>281</v>
      </c>
    </row>
    <row r="389" customHeight="1" spans="2:3">
      <c r="B389" s="25" t="s">
        <v>280</v>
      </c>
      <c r="C389" s="27" t="s">
        <v>281</v>
      </c>
    </row>
    <row r="390" customHeight="1" spans="2:3">
      <c r="B390" s="25" t="s">
        <v>280</v>
      </c>
      <c r="C390" s="27" t="s">
        <v>281</v>
      </c>
    </row>
    <row r="391" customHeight="1" spans="2:3">
      <c r="B391" s="25" t="s">
        <v>280</v>
      </c>
      <c r="C391" s="27" t="s">
        <v>281</v>
      </c>
    </row>
    <row r="392" customHeight="1" spans="2:3">
      <c r="B392" s="25" t="s">
        <v>280</v>
      </c>
      <c r="C392" s="27" t="s">
        <v>281</v>
      </c>
    </row>
    <row r="393" customHeight="1" spans="2:3">
      <c r="B393" s="25" t="s">
        <v>280</v>
      </c>
      <c r="C393" s="27" t="s">
        <v>281</v>
      </c>
    </row>
    <row r="394" customHeight="1" spans="2:3">
      <c r="B394" s="25" t="s">
        <v>280</v>
      </c>
      <c r="C394" s="27" t="s">
        <v>281</v>
      </c>
    </row>
    <row r="395" customHeight="1" spans="2:3">
      <c r="B395" s="25" t="s">
        <v>280</v>
      </c>
      <c r="C395" s="27" t="s">
        <v>281</v>
      </c>
    </row>
    <row r="396" customHeight="1" spans="2:3">
      <c r="B396" s="25" t="s">
        <v>280</v>
      </c>
      <c r="C396" s="27" t="s">
        <v>281</v>
      </c>
    </row>
    <row r="397" customHeight="1" spans="2:3">
      <c r="B397" s="25" t="s">
        <v>280</v>
      </c>
      <c r="C397" s="27" t="s">
        <v>281</v>
      </c>
    </row>
    <row r="398" customHeight="1" spans="2:3">
      <c r="B398" s="25" t="s">
        <v>280</v>
      </c>
      <c r="C398" s="27" t="s">
        <v>281</v>
      </c>
    </row>
    <row r="399" customHeight="1" spans="2:3">
      <c r="B399" s="25" t="s">
        <v>280</v>
      </c>
      <c r="C399" s="27" t="s">
        <v>281</v>
      </c>
    </row>
    <row r="400" customHeight="1" spans="2:3">
      <c r="B400" s="25" t="s">
        <v>280</v>
      </c>
      <c r="C400" s="27" t="s">
        <v>281</v>
      </c>
    </row>
    <row r="401" customHeight="1" spans="2:2">
      <c r="B401" s="25" t="s">
        <v>280</v>
      </c>
    </row>
    <row r="402" customHeight="1" spans="2:2">
      <c r="B402" s="25" t="s">
        <v>280</v>
      </c>
    </row>
    <row r="403" customHeight="1" spans="2:2">
      <c r="B403" s="25" t="s">
        <v>280</v>
      </c>
    </row>
    <row r="404" customHeight="1" spans="2:2">
      <c r="B404" s="25" t="s">
        <v>280</v>
      </c>
    </row>
    <row r="405" customHeight="1" spans="2:2">
      <c r="B405" s="25" t="s">
        <v>280</v>
      </c>
    </row>
    <row r="406" customHeight="1" spans="2:2">
      <c r="B406" s="25" t="s">
        <v>280</v>
      </c>
    </row>
    <row r="407" customHeight="1" spans="2:2">
      <c r="B407" s="25" t="s">
        <v>280</v>
      </c>
    </row>
    <row r="408" customHeight="1" spans="2:2">
      <c r="B408" s="25" t="s">
        <v>280</v>
      </c>
    </row>
    <row r="409" customHeight="1" spans="2:2">
      <c r="B409" s="25" t="s">
        <v>280</v>
      </c>
    </row>
    <row r="410" customHeight="1" spans="2:2">
      <c r="B410" s="25" t="s">
        <v>280</v>
      </c>
    </row>
    <row r="411" customHeight="1" spans="2:2">
      <c r="B411" s="25" t="s">
        <v>280</v>
      </c>
    </row>
    <row r="412" customHeight="1" spans="2:2">
      <c r="B412" s="25" t="s">
        <v>280</v>
      </c>
    </row>
    <row r="413" customHeight="1" spans="2:2">
      <c r="B413" s="25" t="s">
        <v>280</v>
      </c>
    </row>
    <row r="414" customHeight="1" spans="2:2">
      <c r="B414" s="25" t="s">
        <v>280</v>
      </c>
    </row>
    <row r="415" customHeight="1" spans="2:2">
      <c r="B415" s="25" t="s">
        <v>280</v>
      </c>
    </row>
    <row r="416" customHeight="1" spans="2:2">
      <c r="B416" s="25" t="s">
        <v>280</v>
      </c>
    </row>
    <row r="417" customHeight="1" spans="2:2">
      <c r="B417" s="25" t="s">
        <v>280</v>
      </c>
    </row>
    <row r="418" customHeight="1" spans="2:2">
      <c r="B418" s="25" t="s">
        <v>280</v>
      </c>
    </row>
    <row r="419" customHeight="1" spans="2:2">
      <c r="B419" s="25" t="s">
        <v>280</v>
      </c>
    </row>
    <row r="420" customHeight="1" spans="2:2">
      <c r="B420" s="25" t="s">
        <v>280</v>
      </c>
    </row>
    <row r="421" customHeight="1" spans="2:2">
      <c r="B421" s="25" t="s">
        <v>280</v>
      </c>
    </row>
  </sheetData>
  <pageMargins left="0.7" right="0.7" top="0.75" bottom="0.75" header="0.3" footer="0.3"/>
  <pageSetup paperSize="9" scale="19" fitToWidth="0" fitToHeight="0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28575</xdr:colOff>
                    <xdr:row>12</xdr:row>
                    <xdr:rowOff>38100</xdr:rowOff>
                  </from>
                  <to>
                    <xdr:col>0</xdr:col>
                    <xdr:colOff>1362075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Q110"/>
  <sheetViews>
    <sheetView topLeftCell="A56" workbookViewId="0">
      <selection activeCell="A24" sqref="A24"/>
    </sheetView>
  </sheetViews>
  <sheetFormatPr defaultColWidth="9" defaultRowHeight="13.8"/>
  <cols>
    <col min="1" max="1" width="24.25" customWidth="1"/>
    <col min="3" max="3" width="15.6296296296296" customWidth="1"/>
    <col min="4" max="4" width="10.5" customWidth="1"/>
    <col min="5" max="5" width="16.25" customWidth="1"/>
    <col min="7" max="7" width="9.12962962962963" customWidth="1"/>
    <col min="10" max="10" width="37.8796296296296" customWidth="1"/>
  </cols>
  <sheetData>
    <row r="1" ht="14.4" spans="1:17">
      <c r="A1" s="1" t="s">
        <v>282</v>
      </c>
      <c r="B1" s="1" t="s">
        <v>283</v>
      </c>
      <c r="C1" s="2" t="s">
        <v>284</v>
      </c>
      <c r="D1" s="2"/>
      <c r="E1" s="2"/>
      <c r="F1" s="2"/>
      <c r="G1" s="2"/>
      <c r="H1" s="2"/>
      <c r="I1" s="2"/>
      <c r="J1" s="2" t="s">
        <v>285</v>
      </c>
      <c r="K1" s="2"/>
      <c r="L1" s="2"/>
      <c r="M1" s="2"/>
      <c r="N1" s="2"/>
      <c r="O1" s="2"/>
      <c r="P1" s="12"/>
      <c r="Q1" s="12"/>
    </row>
    <row r="2" ht="14.4" spans="1:17">
      <c r="A2" s="3" t="s">
        <v>286</v>
      </c>
      <c r="B2" s="3" t="s">
        <v>287</v>
      </c>
      <c r="C2" s="4" t="s">
        <v>288</v>
      </c>
      <c r="D2" s="5" t="s">
        <v>289</v>
      </c>
      <c r="E2" s="5"/>
      <c r="F2" s="5"/>
      <c r="G2" s="5"/>
      <c r="H2" s="5"/>
      <c r="I2" s="5"/>
      <c r="J2" s="11" t="s">
        <v>290</v>
      </c>
      <c r="K2" s="11"/>
      <c r="L2" s="11"/>
      <c r="M2" s="11"/>
      <c r="N2" s="11"/>
      <c r="O2" s="11"/>
      <c r="P2" s="12"/>
      <c r="Q2" s="12"/>
    </row>
    <row r="3" ht="14.4" spans="1:17">
      <c r="A3" s="3" t="s">
        <v>291</v>
      </c>
      <c r="B3" s="3" t="s">
        <v>287</v>
      </c>
      <c r="C3" s="4" t="s">
        <v>292</v>
      </c>
      <c r="D3" s="5" t="s">
        <v>289</v>
      </c>
      <c r="E3" s="5"/>
      <c r="F3" s="5"/>
      <c r="G3" s="5"/>
      <c r="H3" s="5"/>
      <c r="I3" s="5"/>
      <c r="J3" s="11" t="s">
        <v>293</v>
      </c>
      <c r="K3" s="11"/>
      <c r="L3" s="11"/>
      <c r="M3" s="11"/>
      <c r="N3" s="11"/>
      <c r="O3" s="11"/>
      <c r="P3" s="12"/>
      <c r="Q3" s="12"/>
    </row>
    <row r="4" ht="14.4" spans="1:17">
      <c r="A4" s="3" t="s">
        <v>294</v>
      </c>
      <c r="B4" s="3" t="s">
        <v>287</v>
      </c>
      <c r="C4" s="4" t="s">
        <v>295</v>
      </c>
      <c r="D4" s="5" t="s">
        <v>296</v>
      </c>
      <c r="E4" s="5"/>
      <c r="F4" s="5"/>
      <c r="G4" s="5"/>
      <c r="H4" s="5"/>
      <c r="I4" s="5"/>
      <c r="J4" s="11" t="s">
        <v>297</v>
      </c>
      <c r="K4" s="11"/>
      <c r="L4" s="11"/>
      <c r="M4" s="11"/>
      <c r="N4" s="11"/>
      <c r="O4" s="11"/>
      <c r="P4" s="12"/>
      <c r="Q4" s="12"/>
    </row>
    <row r="5" ht="14.4" spans="1:17">
      <c r="A5" s="3" t="s">
        <v>298</v>
      </c>
      <c r="B5" s="3" t="s">
        <v>287</v>
      </c>
      <c r="C5" s="4" t="s">
        <v>299</v>
      </c>
      <c r="D5" s="5" t="s">
        <v>296</v>
      </c>
      <c r="E5" s="5"/>
      <c r="F5" s="5"/>
      <c r="G5" s="5"/>
      <c r="H5" s="5"/>
      <c r="I5" s="5"/>
      <c r="J5" s="11" t="s">
        <v>300</v>
      </c>
      <c r="K5" s="11"/>
      <c r="L5" s="11"/>
      <c r="M5" s="11"/>
      <c r="N5" s="11"/>
      <c r="O5" s="11"/>
      <c r="P5" s="12"/>
      <c r="Q5" s="12"/>
    </row>
    <row r="6" ht="14.4" spans="1:17">
      <c r="A6" s="3" t="s">
        <v>301</v>
      </c>
      <c r="B6" s="3" t="s">
        <v>287</v>
      </c>
      <c r="C6" s="4" t="s">
        <v>302</v>
      </c>
      <c r="D6" s="5" t="s">
        <v>296</v>
      </c>
      <c r="E6" s="5"/>
      <c r="F6" s="5"/>
      <c r="G6" s="5"/>
      <c r="H6" s="5"/>
      <c r="I6" s="5"/>
      <c r="J6" s="11" t="s">
        <v>303</v>
      </c>
      <c r="K6" s="11"/>
      <c r="L6" s="11"/>
      <c r="M6" s="11"/>
      <c r="N6" s="11"/>
      <c r="O6" s="11"/>
      <c r="P6" s="12"/>
      <c r="Q6" s="12"/>
    </row>
    <row r="7" ht="14.4" spans="1:17">
      <c r="A7" s="3" t="s">
        <v>304</v>
      </c>
      <c r="B7" s="3" t="s">
        <v>305</v>
      </c>
      <c r="C7" s="4" t="s">
        <v>306</v>
      </c>
      <c r="D7" s="5" t="s">
        <v>289</v>
      </c>
      <c r="E7" s="5"/>
      <c r="F7" s="4" t="s">
        <v>307</v>
      </c>
      <c r="G7" s="5"/>
      <c r="H7" s="5"/>
      <c r="I7" s="5"/>
      <c r="J7" s="11" t="s">
        <v>308</v>
      </c>
      <c r="K7" s="11"/>
      <c r="L7" s="11"/>
      <c r="M7" s="11"/>
      <c r="N7" s="11"/>
      <c r="O7" s="11"/>
      <c r="P7" s="12"/>
      <c r="Q7" s="12"/>
    </row>
    <row r="8" ht="14.4" spans="1:17">
      <c r="A8" s="3" t="s">
        <v>309</v>
      </c>
      <c r="B8" s="3" t="s">
        <v>305</v>
      </c>
      <c r="C8" s="4" t="s">
        <v>310</v>
      </c>
      <c r="D8" s="5" t="s">
        <v>289</v>
      </c>
      <c r="E8" s="5"/>
      <c r="F8" s="4" t="s">
        <v>311</v>
      </c>
      <c r="G8" s="5"/>
      <c r="H8" s="5"/>
      <c r="I8" s="5"/>
      <c r="J8" s="11" t="s">
        <v>312</v>
      </c>
      <c r="K8" s="11"/>
      <c r="L8" s="11"/>
      <c r="M8" s="11"/>
      <c r="N8" s="11"/>
      <c r="O8" s="11"/>
      <c r="P8" s="12"/>
      <c r="Q8" s="12"/>
    </row>
    <row r="9" ht="14.4" spans="1:17">
      <c r="A9" s="3" t="s">
        <v>313</v>
      </c>
      <c r="B9" s="3" t="s">
        <v>305</v>
      </c>
      <c r="C9" s="4" t="s">
        <v>314</v>
      </c>
      <c r="D9" s="5" t="s">
        <v>296</v>
      </c>
      <c r="E9" s="5"/>
      <c r="F9" s="4" t="s">
        <v>315</v>
      </c>
      <c r="G9" s="5"/>
      <c r="H9" s="5"/>
      <c r="I9" s="5"/>
      <c r="J9" s="11" t="s">
        <v>316</v>
      </c>
      <c r="K9" s="11"/>
      <c r="L9" s="11"/>
      <c r="M9" s="11"/>
      <c r="N9" s="11"/>
      <c r="O9" s="11"/>
      <c r="P9" s="12"/>
      <c r="Q9" s="12"/>
    </row>
    <row r="10" ht="14.4" spans="1:17">
      <c r="A10" s="3" t="s">
        <v>317</v>
      </c>
      <c r="B10" s="3" t="s">
        <v>305</v>
      </c>
      <c r="C10" s="4" t="s">
        <v>318</v>
      </c>
      <c r="D10" s="5" t="s">
        <v>296</v>
      </c>
      <c r="E10" s="5"/>
      <c r="F10" s="4" t="s">
        <v>319</v>
      </c>
      <c r="G10" s="5"/>
      <c r="H10" s="5"/>
      <c r="I10" s="5"/>
      <c r="J10" s="11" t="s">
        <v>320</v>
      </c>
      <c r="K10" s="11"/>
      <c r="L10" s="11"/>
      <c r="M10" s="11"/>
      <c r="N10" s="11"/>
      <c r="O10" s="11"/>
      <c r="P10" s="12"/>
      <c r="Q10" s="12"/>
    </row>
    <row r="11" ht="14.4" spans="1:17">
      <c r="A11" s="3" t="s">
        <v>321</v>
      </c>
      <c r="B11" s="3" t="s">
        <v>305</v>
      </c>
      <c r="C11" s="4" t="s">
        <v>322</v>
      </c>
      <c r="D11" s="5" t="s">
        <v>296</v>
      </c>
      <c r="E11" s="5"/>
      <c r="F11" s="4" t="s">
        <v>323</v>
      </c>
      <c r="G11" s="5"/>
      <c r="H11" s="5"/>
      <c r="I11" s="5"/>
      <c r="J11" s="11" t="s">
        <v>324</v>
      </c>
      <c r="K11" s="11"/>
      <c r="L11" s="11"/>
      <c r="M11" s="11"/>
      <c r="N11" s="11"/>
      <c r="O11" s="11"/>
      <c r="P11" s="12"/>
      <c r="Q11" s="12"/>
    </row>
    <row r="12" ht="14.4" spans="1:17">
      <c r="A12" s="3" t="s">
        <v>325</v>
      </c>
      <c r="B12" s="3" t="s">
        <v>326</v>
      </c>
      <c r="C12" s="4" t="s">
        <v>327</v>
      </c>
      <c r="D12" s="5" t="s">
        <v>289</v>
      </c>
      <c r="E12" s="5"/>
      <c r="F12" s="4" t="s">
        <v>328</v>
      </c>
      <c r="G12" s="4" t="s">
        <v>329</v>
      </c>
      <c r="H12" s="5"/>
      <c r="I12" s="5"/>
      <c r="J12" s="11" t="s">
        <v>330</v>
      </c>
      <c r="K12" s="11"/>
      <c r="L12" s="11"/>
      <c r="M12" s="11"/>
      <c r="N12" s="11"/>
      <c r="O12" s="11"/>
      <c r="P12" s="12"/>
      <c r="Q12" s="12"/>
    </row>
    <row r="13" ht="14.4" spans="1:17">
      <c r="A13" s="3" t="s">
        <v>331</v>
      </c>
      <c r="B13" s="3" t="s">
        <v>326</v>
      </c>
      <c r="C13" s="4" t="s">
        <v>332</v>
      </c>
      <c r="D13" s="5" t="s">
        <v>289</v>
      </c>
      <c r="E13" s="5"/>
      <c r="F13" s="4" t="s">
        <v>333</v>
      </c>
      <c r="G13" s="4" t="s">
        <v>334</v>
      </c>
      <c r="H13" s="5"/>
      <c r="I13" s="5"/>
      <c r="J13" s="11" t="s">
        <v>335</v>
      </c>
      <c r="K13" s="11"/>
      <c r="L13" s="11"/>
      <c r="M13" s="11"/>
      <c r="N13" s="11"/>
      <c r="O13" s="11"/>
      <c r="P13" s="12"/>
      <c r="Q13" s="12"/>
    </row>
    <row r="14" ht="14.4" spans="1:17">
      <c r="A14" s="3" t="s">
        <v>336</v>
      </c>
      <c r="B14" s="3" t="s">
        <v>326</v>
      </c>
      <c r="C14" s="4" t="s">
        <v>337</v>
      </c>
      <c r="D14" s="5" t="s">
        <v>296</v>
      </c>
      <c r="E14" s="5"/>
      <c r="F14" s="4" t="s">
        <v>338</v>
      </c>
      <c r="G14" s="4" t="s">
        <v>339</v>
      </c>
      <c r="H14" s="5"/>
      <c r="I14" s="5"/>
      <c r="J14" s="11" t="s">
        <v>340</v>
      </c>
      <c r="K14" s="11"/>
      <c r="L14" s="11"/>
      <c r="M14" s="11"/>
      <c r="N14" s="11"/>
      <c r="O14" s="11"/>
      <c r="P14" s="12"/>
      <c r="Q14" s="12"/>
    </row>
    <row r="15" ht="14.4" spans="1:17">
      <c r="A15" s="3" t="s">
        <v>341</v>
      </c>
      <c r="B15" s="3" t="s">
        <v>326</v>
      </c>
      <c r="C15" s="4" t="s">
        <v>342</v>
      </c>
      <c r="D15" s="5" t="s">
        <v>296</v>
      </c>
      <c r="E15" s="5"/>
      <c r="F15" s="4" t="s">
        <v>343</v>
      </c>
      <c r="G15" s="4" t="s">
        <v>344</v>
      </c>
      <c r="H15" s="5"/>
      <c r="I15" s="5"/>
      <c r="J15" s="11" t="s">
        <v>345</v>
      </c>
      <c r="K15" s="11"/>
      <c r="L15" s="11"/>
      <c r="M15" s="11"/>
      <c r="N15" s="11"/>
      <c r="O15" s="11"/>
      <c r="P15" s="12"/>
      <c r="Q15" s="12"/>
    </row>
    <row r="16" ht="14.4" spans="1:17">
      <c r="A16" s="3" t="s">
        <v>346</v>
      </c>
      <c r="B16" s="3" t="s">
        <v>326</v>
      </c>
      <c r="C16" s="4" t="s">
        <v>347</v>
      </c>
      <c r="D16" s="5" t="s">
        <v>296</v>
      </c>
      <c r="E16" s="5"/>
      <c r="F16" s="4" t="s">
        <v>348</v>
      </c>
      <c r="G16" s="4" t="s">
        <v>349</v>
      </c>
      <c r="H16" s="5"/>
      <c r="I16" s="5"/>
      <c r="J16" s="11" t="s">
        <v>350</v>
      </c>
      <c r="K16" s="11"/>
      <c r="L16" s="11"/>
      <c r="M16" s="11"/>
      <c r="N16" s="11"/>
      <c r="O16" s="11"/>
      <c r="P16" s="12"/>
      <c r="Q16" s="12"/>
    </row>
    <row r="17" ht="14.4" spans="1:15">
      <c r="A17" s="3" t="s">
        <v>351</v>
      </c>
      <c r="B17" s="3" t="s">
        <v>352</v>
      </c>
      <c r="C17" s="4" t="s">
        <v>353</v>
      </c>
      <c r="D17" s="5" t="s">
        <v>289</v>
      </c>
      <c r="E17" s="5"/>
      <c r="F17" s="4" t="s">
        <v>354</v>
      </c>
      <c r="G17" s="4" t="s">
        <v>355</v>
      </c>
      <c r="H17" s="3" t="s">
        <v>356</v>
      </c>
      <c r="I17" s="5"/>
      <c r="J17" s="11" t="s">
        <v>357</v>
      </c>
      <c r="K17" s="11"/>
      <c r="L17" s="11"/>
      <c r="M17" s="11"/>
      <c r="N17" s="11"/>
      <c r="O17" s="11"/>
    </row>
    <row r="18" ht="14.4" spans="1:15">
      <c r="A18" s="3" t="s">
        <v>358</v>
      </c>
      <c r="B18" s="3" t="s">
        <v>352</v>
      </c>
      <c r="C18" s="4" t="s">
        <v>359</v>
      </c>
      <c r="D18" s="5" t="s">
        <v>289</v>
      </c>
      <c r="E18" s="5"/>
      <c r="F18" s="4" t="s">
        <v>360</v>
      </c>
      <c r="G18" s="4" t="s">
        <v>361</v>
      </c>
      <c r="H18" s="4" t="s">
        <v>362</v>
      </c>
      <c r="I18" s="5"/>
      <c r="J18" s="11" t="s">
        <v>363</v>
      </c>
      <c r="K18" s="11"/>
      <c r="L18" s="11"/>
      <c r="M18" s="11"/>
      <c r="N18" s="11"/>
      <c r="O18" s="11"/>
    </row>
    <row r="19" ht="14.4" spans="1:15">
      <c r="A19" s="3" t="s">
        <v>364</v>
      </c>
      <c r="B19" s="3" t="s">
        <v>352</v>
      </c>
      <c r="C19" s="4" t="s">
        <v>365</v>
      </c>
      <c r="D19" s="5" t="s">
        <v>296</v>
      </c>
      <c r="E19" s="5"/>
      <c r="F19" s="4" t="s">
        <v>366</v>
      </c>
      <c r="G19" s="4" t="s">
        <v>367</v>
      </c>
      <c r="H19" s="3" t="s">
        <v>368</v>
      </c>
      <c r="I19" s="5"/>
      <c r="J19" s="11" t="s">
        <v>369</v>
      </c>
      <c r="K19" s="11"/>
      <c r="L19" s="11"/>
      <c r="M19" s="11"/>
      <c r="N19" s="11"/>
      <c r="O19" s="11"/>
    </row>
    <row r="20" ht="14.4" spans="1:15">
      <c r="A20" s="3" t="s">
        <v>370</v>
      </c>
      <c r="B20" s="3" t="s">
        <v>352</v>
      </c>
      <c r="C20" s="4" t="s">
        <v>371</v>
      </c>
      <c r="D20" s="5" t="s">
        <v>296</v>
      </c>
      <c r="E20" s="5"/>
      <c r="F20" s="4" t="s">
        <v>372</v>
      </c>
      <c r="G20" s="4" t="s">
        <v>373</v>
      </c>
      <c r="H20" s="4" t="s">
        <v>374</v>
      </c>
      <c r="I20" s="5"/>
      <c r="J20" s="11" t="s">
        <v>375</v>
      </c>
      <c r="K20" s="11"/>
      <c r="L20" s="11"/>
      <c r="M20" s="11"/>
      <c r="N20" s="11"/>
      <c r="O20" s="11"/>
    </row>
    <row r="21" ht="14.4" spans="1:15">
      <c r="A21" s="3" t="s">
        <v>376</v>
      </c>
      <c r="B21" s="3" t="s">
        <v>352</v>
      </c>
      <c r="C21" s="4" t="s">
        <v>377</v>
      </c>
      <c r="D21" s="5" t="s">
        <v>296</v>
      </c>
      <c r="E21" s="5"/>
      <c r="F21" s="4" t="s">
        <v>378</v>
      </c>
      <c r="G21" s="4" t="s">
        <v>379</v>
      </c>
      <c r="H21" s="3" t="s">
        <v>380</v>
      </c>
      <c r="I21" s="5"/>
      <c r="J21" s="11" t="s">
        <v>381</v>
      </c>
      <c r="K21" s="11"/>
      <c r="L21" s="11"/>
      <c r="M21" s="11"/>
      <c r="N21" s="11"/>
      <c r="O21" s="11"/>
    </row>
    <row r="22" spans="1:12">
      <c r="A22" s="6" t="s">
        <v>382</v>
      </c>
      <c r="B22" s="7"/>
      <c r="C22" s="7"/>
      <c r="D22" s="7"/>
      <c r="E22" s="7"/>
      <c r="F22" s="7"/>
      <c r="G22" s="7"/>
      <c r="H22" s="7"/>
      <c r="I22" s="7"/>
      <c r="J22" s="7"/>
      <c r="L22" s="12"/>
    </row>
    <row r="23" spans="1:12">
      <c r="A23" s="6" t="s">
        <v>383</v>
      </c>
      <c r="B23" s="7"/>
      <c r="C23" s="7"/>
      <c r="D23" s="7"/>
      <c r="E23" s="7"/>
      <c r="F23" s="7"/>
      <c r="G23" s="7"/>
      <c r="H23" s="7"/>
      <c r="I23" s="7"/>
      <c r="J23" s="7"/>
      <c r="L23" s="12"/>
    </row>
    <row r="24" spans="1:12">
      <c r="A24" s="6" t="s">
        <v>384</v>
      </c>
      <c r="B24" s="7"/>
      <c r="C24" s="7"/>
      <c r="D24" s="7"/>
      <c r="E24" s="7"/>
      <c r="F24" s="7"/>
      <c r="G24" s="7"/>
      <c r="H24" s="7"/>
      <c r="I24" s="7"/>
      <c r="J24" s="7"/>
      <c r="L24" s="12"/>
    </row>
    <row r="25" spans="1:12">
      <c r="A25" s="6"/>
      <c r="B25" s="7"/>
      <c r="C25" s="7"/>
      <c r="D25" s="7"/>
      <c r="E25" s="7"/>
      <c r="F25" s="7"/>
      <c r="G25" s="7"/>
      <c r="H25" s="7"/>
      <c r="I25" s="7"/>
      <c r="J25" s="7"/>
      <c r="L25" s="12"/>
    </row>
    <row r="26" spans="1:12">
      <c r="A26" s="6"/>
      <c r="B26" s="7"/>
      <c r="C26" s="7"/>
      <c r="D26" s="7"/>
      <c r="E26" s="7"/>
      <c r="F26" s="7"/>
      <c r="G26" s="7"/>
      <c r="H26" s="7"/>
      <c r="I26" s="7"/>
      <c r="J26" s="7"/>
      <c r="L26" s="12"/>
    </row>
    <row r="27" spans="1:12">
      <c r="A27" s="6"/>
      <c r="B27" s="7"/>
      <c r="C27" s="7"/>
      <c r="D27" s="7"/>
      <c r="E27" s="7"/>
      <c r="F27" s="7"/>
      <c r="G27" s="7"/>
      <c r="H27" s="7"/>
      <c r="I27" s="7"/>
      <c r="J27" s="7"/>
      <c r="L27" s="12"/>
    </row>
    <row r="28" ht="16.5" customHeight="1" spans="1:12">
      <c r="A28" s="6"/>
      <c r="B28" s="7"/>
      <c r="C28" s="7"/>
      <c r="D28" s="7"/>
      <c r="E28" s="7"/>
      <c r="F28" s="7"/>
      <c r="G28" s="7"/>
      <c r="H28" s="7"/>
      <c r="I28" s="7"/>
      <c r="J28" s="7"/>
      <c r="L28" s="12"/>
    </row>
    <row r="29" ht="8.25" customHeight="1" spans="1:12">
      <c r="A29" s="6"/>
      <c r="B29" s="7"/>
      <c r="C29" s="7"/>
      <c r="D29" s="7"/>
      <c r="E29" s="7"/>
      <c r="F29" s="7"/>
      <c r="G29" s="7"/>
      <c r="H29" s="7"/>
      <c r="I29" s="7"/>
      <c r="J29" s="7"/>
      <c r="L29" s="12"/>
    </row>
    <row r="30" spans="1:12">
      <c r="A30" s="6"/>
      <c r="B30" s="7"/>
      <c r="C30" s="7"/>
      <c r="D30" s="7"/>
      <c r="E30" s="7"/>
      <c r="F30" s="7"/>
      <c r="G30" s="7"/>
      <c r="H30" s="7"/>
      <c r="I30" s="7"/>
      <c r="J30" s="7"/>
      <c r="L30" s="12"/>
    </row>
    <row r="31" spans="1:12">
      <c r="A31" s="6"/>
      <c r="B31" s="7"/>
      <c r="C31" s="7"/>
      <c r="D31" s="7"/>
      <c r="E31" s="7"/>
      <c r="F31" s="7"/>
      <c r="G31" s="7"/>
      <c r="H31" s="7"/>
      <c r="I31" s="7"/>
      <c r="J31" s="7"/>
      <c r="L31" s="12"/>
    </row>
    <row r="32" spans="1:12">
      <c r="A32" s="6"/>
      <c r="B32" s="7"/>
      <c r="C32" s="7"/>
      <c r="D32" s="7"/>
      <c r="E32" s="7"/>
      <c r="F32" s="7"/>
      <c r="G32" s="7"/>
      <c r="H32" s="7"/>
      <c r="I32" s="7"/>
      <c r="J32" s="7"/>
      <c r="L32" s="12"/>
    </row>
    <row r="33" spans="1:12">
      <c r="A33" s="6"/>
      <c r="B33" s="7"/>
      <c r="C33" s="7"/>
      <c r="D33" s="7"/>
      <c r="E33" s="7"/>
      <c r="F33" s="7"/>
      <c r="G33" s="7"/>
      <c r="H33" s="7"/>
      <c r="I33" s="7"/>
      <c r="J33" s="7"/>
      <c r="L33" s="12"/>
    </row>
    <row r="34" ht="14.55"/>
    <row r="35" ht="15.15" spans="1:11">
      <c r="A35" s="8"/>
      <c r="B35" s="9"/>
      <c r="C35" s="1" t="s">
        <v>385</v>
      </c>
      <c r="D35" s="1" t="s">
        <v>386</v>
      </c>
      <c r="E35" s="1" t="s">
        <v>387</v>
      </c>
      <c r="F35" s="1" t="s">
        <v>388</v>
      </c>
      <c r="G35" s="1" t="s">
        <v>389</v>
      </c>
      <c r="H35" s="1" t="s">
        <v>390</v>
      </c>
      <c r="I35" s="1" t="s">
        <v>391</v>
      </c>
      <c r="J35" s="1" t="s">
        <v>392</v>
      </c>
      <c r="K35" s="1" t="s">
        <v>393</v>
      </c>
    </row>
    <row r="36" ht="15.15" spans="1:11">
      <c r="A36" s="10"/>
      <c r="B36" s="9"/>
      <c r="C36" s="3" t="s">
        <v>394</v>
      </c>
      <c r="D36" s="5">
        <v>100</v>
      </c>
      <c r="E36" s="5">
        <f>D36/2</f>
        <v>50</v>
      </c>
      <c r="F36" s="5">
        <v>25</v>
      </c>
      <c r="G36" s="5">
        <v>50</v>
      </c>
      <c r="H36" s="5">
        <v>1</v>
      </c>
      <c r="I36" s="5">
        <v>1.5</v>
      </c>
      <c r="J36" s="5">
        <v>15</v>
      </c>
      <c r="K36" s="5">
        <v>3</v>
      </c>
    </row>
    <row r="37" ht="15.15" spans="1:11">
      <c r="A37" s="10"/>
      <c r="B37" s="9"/>
      <c r="C37" s="3" t="s">
        <v>395</v>
      </c>
      <c r="D37" s="5">
        <v>140</v>
      </c>
      <c r="E37" s="5">
        <f>D37/2</f>
        <v>70</v>
      </c>
      <c r="F37" s="5">
        <v>35</v>
      </c>
      <c r="G37" s="5">
        <v>70</v>
      </c>
      <c r="H37" s="5">
        <v>1</v>
      </c>
      <c r="I37" s="5">
        <v>1.5</v>
      </c>
      <c r="J37" s="5">
        <v>20</v>
      </c>
      <c r="K37" s="5">
        <v>4</v>
      </c>
    </row>
    <row r="38" ht="15.15" spans="1:11">
      <c r="A38" s="10"/>
      <c r="B38" s="9"/>
      <c r="C38" s="3" t="s">
        <v>396</v>
      </c>
      <c r="D38" s="5">
        <v>196</v>
      </c>
      <c r="E38" s="5">
        <f t="shared" ref="E38:E60" si="0">D38/2</f>
        <v>98</v>
      </c>
      <c r="F38" s="5">
        <v>49</v>
      </c>
      <c r="G38" s="5">
        <v>98</v>
      </c>
      <c r="H38" s="5">
        <v>1</v>
      </c>
      <c r="I38" s="5">
        <v>1.5</v>
      </c>
      <c r="J38" s="5">
        <v>25</v>
      </c>
      <c r="K38" s="5">
        <v>5</v>
      </c>
    </row>
    <row r="39" ht="15.15" spans="1:11">
      <c r="A39" s="10"/>
      <c r="B39" s="9"/>
      <c r="C39" s="3" t="s">
        <v>397</v>
      </c>
      <c r="D39" s="5">
        <v>274.4</v>
      </c>
      <c r="E39" s="5">
        <f t="shared" si="0"/>
        <v>137.2</v>
      </c>
      <c r="F39" s="5">
        <v>68.6</v>
      </c>
      <c r="G39" s="5">
        <v>137.2</v>
      </c>
      <c r="H39" s="5">
        <v>1</v>
      </c>
      <c r="I39" s="5">
        <v>1.5</v>
      </c>
      <c r="J39" s="5">
        <v>30</v>
      </c>
      <c r="K39" s="5">
        <v>6</v>
      </c>
    </row>
    <row r="40" ht="15.15" spans="1:11">
      <c r="A40" s="10"/>
      <c r="B40" s="9"/>
      <c r="C40" s="3" t="s">
        <v>398</v>
      </c>
      <c r="D40" s="5">
        <v>384.16</v>
      </c>
      <c r="E40" s="5">
        <f t="shared" si="0"/>
        <v>192.08</v>
      </c>
      <c r="F40" s="5">
        <v>96.04</v>
      </c>
      <c r="G40" s="5">
        <v>192.08</v>
      </c>
      <c r="H40" s="5">
        <v>1</v>
      </c>
      <c r="I40" s="5">
        <v>1.5</v>
      </c>
      <c r="J40" s="5">
        <v>35</v>
      </c>
      <c r="K40" s="5">
        <v>7</v>
      </c>
    </row>
    <row r="41" ht="15.15" spans="1:11">
      <c r="A41" s="10"/>
      <c r="B41" s="9"/>
      <c r="C41" s="3" t="s">
        <v>399</v>
      </c>
      <c r="D41" s="5">
        <v>537.824</v>
      </c>
      <c r="E41" s="5">
        <f t="shared" si="0"/>
        <v>268.912</v>
      </c>
      <c r="F41" s="5">
        <v>134.456</v>
      </c>
      <c r="G41" s="5">
        <v>268.912</v>
      </c>
      <c r="H41" s="5">
        <v>1</v>
      </c>
      <c r="I41" s="5">
        <v>1.5</v>
      </c>
      <c r="J41" s="5">
        <v>40</v>
      </c>
      <c r="K41" s="5">
        <v>8</v>
      </c>
    </row>
    <row r="42" ht="15.15" spans="1:11">
      <c r="A42" s="10"/>
      <c r="B42" s="9"/>
      <c r="C42" s="3" t="s">
        <v>400</v>
      </c>
      <c r="D42" s="5">
        <v>752.9536</v>
      </c>
      <c r="E42" s="5">
        <f t="shared" si="0"/>
        <v>376.4768</v>
      </c>
      <c r="F42" s="5">
        <v>188.2384</v>
      </c>
      <c r="G42" s="5">
        <v>376.4768</v>
      </c>
      <c r="H42" s="5">
        <v>1</v>
      </c>
      <c r="I42" s="5">
        <v>1.5</v>
      </c>
      <c r="J42" s="5">
        <v>45</v>
      </c>
      <c r="K42" s="5">
        <v>9</v>
      </c>
    </row>
    <row r="43" ht="15.15" spans="1:11">
      <c r="A43" s="10"/>
      <c r="B43" s="9"/>
      <c r="C43" s="3" t="s">
        <v>401</v>
      </c>
      <c r="D43" s="5">
        <v>1054.13504</v>
      </c>
      <c r="E43" s="5">
        <f t="shared" si="0"/>
        <v>527.06752</v>
      </c>
      <c r="F43" s="5">
        <v>263.53376</v>
      </c>
      <c r="G43" s="5">
        <v>527.06752</v>
      </c>
      <c r="H43" s="5">
        <v>1</v>
      </c>
      <c r="I43" s="5">
        <v>1.5</v>
      </c>
      <c r="J43" s="5">
        <v>50</v>
      </c>
      <c r="K43" s="5">
        <v>10</v>
      </c>
    </row>
    <row r="44" ht="15.15" spans="1:11">
      <c r="A44" s="10"/>
      <c r="B44" s="9"/>
      <c r="C44" s="3" t="s">
        <v>402</v>
      </c>
      <c r="D44" s="5">
        <v>1475.789056</v>
      </c>
      <c r="E44" s="5">
        <f t="shared" si="0"/>
        <v>737.894528</v>
      </c>
      <c r="F44" s="5">
        <v>368.947264</v>
      </c>
      <c r="G44" s="5">
        <v>737.894528</v>
      </c>
      <c r="H44" s="5">
        <v>1</v>
      </c>
      <c r="I44" s="5">
        <v>1.5</v>
      </c>
      <c r="J44" s="5">
        <v>55</v>
      </c>
      <c r="K44" s="5">
        <v>11</v>
      </c>
    </row>
    <row r="45" ht="15.15" spans="1:11">
      <c r="A45" s="10"/>
      <c r="B45" s="9"/>
      <c r="C45" s="3" t="s">
        <v>403</v>
      </c>
      <c r="D45" s="5">
        <v>2066.1046784</v>
      </c>
      <c r="E45" s="5">
        <f t="shared" si="0"/>
        <v>1033.0523392</v>
      </c>
      <c r="F45" s="5">
        <v>516.5261696</v>
      </c>
      <c r="G45" s="5">
        <v>1033.0523392</v>
      </c>
      <c r="H45" s="5">
        <v>1</v>
      </c>
      <c r="I45" s="5">
        <v>1.5</v>
      </c>
      <c r="J45" s="5">
        <v>60</v>
      </c>
      <c r="K45" s="5">
        <v>12</v>
      </c>
    </row>
    <row r="46" ht="15.15" spans="1:11">
      <c r="A46" s="10"/>
      <c r="B46" s="9"/>
      <c r="C46" s="3" t="s">
        <v>404</v>
      </c>
      <c r="D46" s="5">
        <v>2892.54654976</v>
      </c>
      <c r="E46" s="5">
        <f t="shared" si="0"/>
        <v>1446.27327488</v>
      </c>
      <c r="F46" s="5">
        <v>723.13663744</v>
      </c>
      <c r="G46" s="5">
        <v>1446.27327488</v>
      </c>
      <c r="H46" s="5">
        <v>1</v>
      </c>
      <c r="I46" s="5">
        <v>1.5</v>
      </c>
      <c r="J46" s="5">
        <v>65</v>
      </c>
      <c r="K46" s="5">
        <v>13</v>
      </c>
    </row>
    <row r="47" ht="15.15" spans="1:11">
      <c r="A47" s="10"/>
      <c r="B47" s="9"/>
      <c r="C47" s="3" t="s">
        <v>405</v>
      </c>
      <c r="D47" s="5">
        <v>4049.565169664</v>
      </c>
      <c r="E47" s="5">
        <f t="shared" si="0"/>
        <v>2024.782584832</v>
      </c>
      <c r="F47" s="5">
        <v>1012.391292416</v>
      </c>
      <c r="G47" s="5">
        <v>2024.782584832</v>
      </c>
      <c r="H47" s="5">
        <v>1</v>
      </c>
      <c r="I47" s="5">
        <v>1.5</v>
      </c>
      <c r="J47" s="5">
        <v>70</v>
      </c>
      <c r="K47" s="5">
        <v>14</v>
      </c>
    </row>
    <row r="48" ht="15.15" spans="1:11">
      <c r="A48" s="10"/>
      <c r="B48" s="9"/>
      <c r="C48" s="3" t="s">
        <v>406</v>
      </c>
      <c r="D48" s="5">
        <v>5669.3912375296</v>
      </c>
      <c r="E48" s="5">
        <f t="shared" si="0"/>
        <v>2834.6956187648</v>
      </c>
      <c r="F48" s="5">
        <v>1417.3478093824</v>
      </c>
      <c r="G48" s="5">
        <v>2834.6956187648</v>
      </c>
      <c r="H48" s="5">
        <v>1</v>
      </c>
      <c r="I48" s="5">
        <v>1.5</v>
      </c>
      <c r="J48" s="5">
        <v>75</v>
      </c>
      <c r="K48" s="5">
        <v>15</v>
      </c>
    </row>
    <row r="49" ht="15.15" spans="1:11">
      <c r="A49" s="10"/>
      <c r="B49" s="9"/>
      <c r="C49" s="3" t="s">
        <v>407</v>
      </c>
      <c r="D49" s="5">
        <v>7937.14773254144</v>
      </c>
      <c r="E49" s="5">
        <f t="shared" si="0"/>
        <v>3968.57386627072</v>
      </c>
      <c r="F49" s="5">
        <v>1984.28693313536</v>
      </c>
      <c r="G49" s="5">
        <v>3968.57386627072</v>
      </c>
      <c r="H49" s="5">
        <v>1</v>
      </c>
      <c r="I49" s="5">
        <v>1.5</v>
      </c>
      <c r="J49" s="5">
        <v>80</v>
      </c>
      <c r="K49" s="5">
        <v>16</v>
      </c>
    </row>
    <row r="50" ht="15.15" spans="1:11">
      <c r="A50" s="10"/>
      <c r="B50" s="9"/>
      <c r="C50" s="3" t="s">
        <v>408</v>
      </c>
      <c r="D50" s="5">
        <v>11112.006825558</v>
      </c>
      <c r="E50" s="5">
        <f t="shared" si="0"/>
        <v>5556.003412779</v>
      </c>
      <c r="F50" s="5">
        <v>2778.0017063895</v>
      </c>
      <c r="G50" s="5">
        <v>5556.003412779</v>
      </c>
      <c r="H50" s="5">
        <v>1</v>
      </c>
      <c r="I50" s="5">
        <v>1.5</v>
      </c>
      <c r="J50" s="5">
        <v>85</v>
      </c>
      <c r="K50" s="5">
        <v>17</v>
      </c>
    </row>
    <row r="51" ht="15.15" spans="1:11">
      <c r="A51" s="10"/>
      <c r="B51" s="9"/>
      <c r="C51" s="3" t="s">
        <v>409</v>
      </c>
      <c r="D51" s="5">
        <v>15556.8095557812</v>
      </c>
      <c r="E51" s="5">
        <f t="shared" si="0"/>
        <v>7778.40477789061</v>
      </c>
      <c r="F51" s="5">
        <v>3889.2023889453</v>
      </c>
      <c r="G51" s="5">
        <v>7778.40477789061</v>
      </c>
      <c r="H51" s="5">
        <v>1</v>
      </c>
      <c r="I51" s="5">
        <v>1.5</v>
      </c>
      <c r="J51" s="5">
        <v>90</v>
      </c>
      <c r="K51" s="5">
        <v>18</v>
      </c>
    </row>
    <row r="52" ht="15.15" spans="1:11">
      <c r="A52" s="10"/>
      <c r="B52" s="9"/>
      <c r="C52" s="3" t="s">
        <v>410</v>
      </c>
      <c r="D52" s="5">
        <v>21779.5333780937</v>
      </c>
      <c r="E52" s="5">
        <f t="shared" si="0"/>
        <v>10889.7666890468</v>
      </c>
      <c r="F52" s="5">
        <v>5444.88334452342</v>
      </c>
      <c r="G52" s="5">
        <v>10889.7666890468</v>
      </c>
      <c r="H52" s="5">
        <v>1</v>
      </c>
      <c r="I52" s="5">
        <v>1.5</v>
      </c>
      <c r="J52" s="5">
        <v>95</v>
      </c>
      <c r="K52" s="5">
        <v>19</v>
      </c>
    </row>
    <row r="53" ht="15.15" spans="1:11">
      <c r="A53" s="10"/>
      <c r="B53" s="9"/>
      <c r="C53" s="3" t="s">
        <v>411</v>
      </c>
      <c r="D53" s="5">
        <v>30491.3467293312</v>
      </c>
      <c r="E53" s="5">
        <f t="shared" si="0"/>
        <v>15245.6733646656</v>
      </c>
      <c r="F53" s="5">
        <v>7622.83668233279</v>
      </c>
      <c r="G53" s="5">
        <v>15245.6733646656</v>
      </c>
      <c r="H53" s="5">
        <v>1</v>
      </c>
      <c r="I53" s="5">
        <v>1.5</v>
      </c>
      <c r="J53" s="5">
        <v>100</v>
      </c>
      <c r="K53" s="5">
        <v>20</v>
      </c>
    </row>
    <row r="54" ht="15.15" spans="1:11">
      <c r="A54" s="10"/>
      <c r="B54" s="9"/>
      <c r="C54" s="3" t="s">
        <v>412</v>
      </c>
      <c r="D54" s="5">
        <v>42687.8854210636</v>
      </c>
      <c r="E54" s="5">
        <f t="shared" si="0"/>
        <v>21343.9427105318</v>
      </c>
      <c r="F54" s="5">
        <v>10671.9713552659</v>
      </c>
      <c r="G54" s="5">
        <v>21343.9427105318</v>
      </c>
      <c r="H54" s="5">
        <v>1</v>
      </c>
      <c r="I54" s="5">
        <v>1.5</v>
      </c>
      <c r="J54" s="5">
        <v>105</v>
      </c>
      <c r="K54" s="5">
        <v>21</v>
      </c>
    </row>
    <row r="55" ht="14.4" spans="3:11">
      <c r="C55" s="3" t="s">
        <v>413</v>
      </c>
      <c r="D55" s="5">
        <v>59763.0395894891</v>
      </c>
      <c r="E55" s="5">
        <f t="shared" si="0"/>
        <v>29881.5197947445</v>
      </c>
      <c r="F55" s="5">
        <v>14940.7598973723</v>
      </c>
      <c r="G55" s="5">
        <v>29881.5197947445</v>
      </c>
      <c r="H55" s="5">
        <v>1</v>
      </c>
      <c r="I55" s="5">
        <v>1.5</v>
      </c>
      <c r="J55" s="5">
        <v>110</v>
      </c>
      <c r="K55" s="5">
        <v>22</v>
      </c>
    </row>
    <row r="56" ht="14.4" spans="3:11">
      <c r="C56" s="3" t="s">
        <v>414</v>
      </c>
      <c r="D56" s="5">
        <v>83668.2554252847</v>
      </c>
      <c r="E56" s="5">
        <f t="shared" si="0"/>
        <v>41834.1277126424</v>
      </c>
      <c r="F56" s="5">
        <v>20917.0638563212</v>
      </c>
      <c r="G56" s="5">
        <v>41834.1277126424</v>
      </c>
      <c r="H56" s="5">
        <v>1</v>
      </c>
      <c r="I56" s="5">
        <v>1.5</v>
      </c>
      <c r="J56" s="5">
        <v>115</v>
      </c>
      <c r="K56" s="5">
        <v>23</v>
      </c>
    </row>
    <row r="57" ht="14.4" spans="3:11">
      <c r="C57" s="3" t="s">
        <v>415</v>
      </c>
      <c r="D57" s="5">
        <v>117135.557595399</v>
      </c>
      <c r="E57" s="5">
        <f t="shared" si="0"/>
        <v>58567.7787976993</v>
      </c>
      <c r="F57" s="5">
        <v>29283.8893988497</v>
      </c>
      <c r="G57" s="5">
        <v>58567.7787976993</v>
      </c>
      <c r="H57" s="5">
        <v>1</v>
      </c>
      <c r="I57" s="5">
        <v>1.5</v>
      </c>
      <c r="J57" s="5">
        <v>120</v>
      </c>
      <c r="K57" s="5">
        <v>24</v>
      </c>
    </row>
    <row r="58" ht="14.4" spans="3:11">
      <c r="C58" s="3" t="s">
        <v>416</v>
      </c>
      <c r="D58" s="5">
        <v>163989.780633558</v>
      </c>
      <c r="E58" s="5">
        <f t="shared" si="0"/>
        <v>81994.890316779</v>
      </c>
      <c r="F58" s="5">
        <v>40997.4451583895</v>
      </c>
      <c r="G58" s="5">
        <v>81994.890316779</v>
      </c>
      <c r="H58" s="5">
        <v>1</v>
      </c>
      <c r="I58" s="5">
        <v>1.5</v>
      </c>
      <c r="J58" s="5">
        <v>125</v>
      </c>
      <c r="K58" s="5">
        <v>25</v>
      </c>
    </row>
    <row r="59" ht="14.4" spans="3:11">
      <c r="C59" s="3" t="s">
        <v>417</v>
      </c>
      <c r="D59" s="5">
        <v>229585.692886981</v>
      </c>
      <c r="E59" s="5">
        <f t="shared" si="0"/>
        <v>114792.846443491</v>
      </c>
      <c r="F59" s="5">
        <v>57396.4232217453</v>
      </c>
      <c r="G59" s="5">
        <v>114792.846443491</v>
      </c>
      <c r="H59" s="5">
        <v>1</v>
      </c>
      <c r="I59" s="5">
        <v>1.5</v>
      </c>
      <c r="J59" s="5">
        <v>130</v>
      </c>
      <c r="K59" s="5">
        <v>26</v>
      </c>
    </row>
    <row r="60" ht="14.4" spans="3:11">
      <c r="C60" s="3" t="s">
        <v>418</v>
      </c>
      <c r="D60" s="5">
        <v>321419.970041774</v>
      </c>
      <c r="E60" s="5">
        <f t="shared" si="0"/>
        <v>160709.985020887</v>
      </c>
      <c r="F60" s="5">
        <v>80354.9925104434</v>
      </c>
      <c r="G60" s="5">
        <v>160709.985020887</v>
      </c>
      <c r="H60" s="5">
        <v>1</v>
      </c>
      <c r="I60" s="5">
        <v>1.5</v>
      </c>
      <c r="J60" s="5">
        <v>135</v>
      </c>
      <c r="K60" s="5">
        <v>27</v>
      </c>
    </row>
    <row r="61" ht="14.4" spans="1:9">
      <c r="A61" s="1" t="s">
        <v>419</v>
      </c>
      <c r="B61" s="1" t="s">
        <v>282</v>
      </c>
      <c r="C61" s="2" t="s">
        <v>420</v>
      </c>
      <c r="D61" s="2"/>
      <c r="E61" s="2"/>
      <c r="F61" s="2"/>
      <c r="G61" s="2"/>
      <c r="H61" s="2"/>
      <c r="I61" s="2"/>
    </row>
    <row r="62" ht="14.4" spans="1:9">
      <c r="A62" s="3" t="s">
        <v>287</v>
      </c>
      <c r="B62" s="3" t="s">
        <v>421</v>
      </c>
      <c r="C62" s="11" t="s">
        <v>422</v>
      </c>
      <c r="D62" s="11"/>
      <c r="E62" s="11"/>
      <c r="F62" s="11"/>
      <c r="G62" s="11"/>
      <c r="H62" s="11"/>
      <c r="I62" s="11"/>
    </row>
    <row r="63" ht="14.4" spans="1:9">
      <c r="A63" s="3" t="s">
        <v>287</v>
      </c>
      <c r="B63" s="3" t="s">
        <v>423</v>
      </c>
      <c r="C63" s="11" t="s">
        <v>424</v>
      </c>
      <c r="D63" s="11"/>
      <c r="E63" s="11"/>
      <c r="F63" s="11"/>
      <c r="G63" s="11"/>
      <c r="H63" s="11"/>
      <c r="I63" s="11"/>
    </row>
    <row r="64" ht="14.4" spans="1:9">
      <c r="A64" s="3" t="s">
        <v>287</v>
      </c>
      <c r="B64" s="3" t="s">
        <v>425</v>
      </c>
      <c r="C64" s="11" t="s">
        <v>302</v>
      </c>
      <c r="D64" s="11"/>
      <c r="E64" s="11"/>
      <c r="F64" s="11"/>
      <c r="G64" s="11"/>
      <c r="H64" s="11"/>
      <c r="I64" s="11"/>
    </row>
    <row r="65" ht="14.4" spans="1:9">
      <c r="A65" s="3" t="s">
        <v>287</v>
      </c>
      <c r="B65" s="3" t="s">
        <v>426</v>
      </c>
      <c r="C65" s="11" t="s">
        <v>427</v>
      </c>
      <c r="D65" s="11"/>
      <c r="E65" s="11"/>
      <c r="F65" s="11"/>
      <c r="G65" s="11"/>
      <c r="H65" s="11"/>
      <c r="I65" s="11"/>
    </row>
    <row r="66" ht="14.4" spans="1:9">
      <c r="A66" s="3" t="s">
        <v>287</v>
      </c>
      <c r="B66" s="3" t="s">
        <v>428</v>
      </c>
      <c r="C66" s="11" t="s">
        <v>429</v>
      </c>
      <c r="D66" s="11"/>
      <c r="E66" s="11"/>
      <c r="F66" s="11"/>
      <c r="G66" s="11"/>
      <c r="H66" s="11"/>
      <c r="I66" s="11"/>
    </row>
    <row r="67" ht="14.4" spans="1:9">
      <c r="A67" s="3" t="s">
        <v>287</v>
      </c>
      <c r="B67" s="3" t="s">
        <v>430</v>
      </c>
      <c r="C67" s="11" t="s">
        <v>431</v>
      </c>
      <c r="D67" s="11"/>
      <c r="E67" s="11"/>
      <c r="F67" s="11"/>
      <c r="G67" s="11"/>
      <c r="H67" s="11"/>
      <c r="I67" s="11"/>
    </row>
    <row r="68" ht="14.4" spans="1:9">
      <c r="A68" s="3" t="s">
        <v>305</v>
      </c>
      <c r="B68" s="3" t="s">
        <v>432</v>
      </c>
      <c r="C68" s="11" t="s">
        <v>433</v>
      </c>
      <c r="D68" s="11"/>
      <c r="E68" s="11"/>
      <c r="F68" s="11"/>
      <c r="G68" s="11"/>
      <c r="H68" s="11"/>
      <c r="I68" s="11"/>
    </row>
    <row r="69" ht="14.4" spans="1:10">
      <c r="A69" s="3" t="s">
        <v>305</v>
      </c>
      <c r="B69" s="3" t="s">
        <v>434</v>
      </c>
      <c r="C69" s="11" t="s">
        <v>435</v>
      </c>
      <c r="D69" s="11"/>
      <c r="E69" s="11"/>
      <c r="F69" s="11"/>
      <c r="G69" s="11"/>
      <c r="H69" s="11"/>
      <c r="I69" s="11"/>
      <c r="J69" s="13" t="s">
        <v>436</v>
      </c>
    </row>
    <row r="70" ht="14.4" spans="1:9">
      <c r="A70" s="3" t="s">
        <v>305</v>
      </c>
      <c r="B70" s="3" t="s">
        <v>437</v>
      </c>
      <c r="C70" s="11" t="s">
        <v>438</v>
      </c>
      <c r="D70" s="11"/>
      <c r="E70" s="11"/>
      <c r="F70" s="11"/>
      <c r="G70" s="11"/>
      <c r="H70" s="11"/>
      <c r="I70" s="11"/>
    </row>
    <row r="71" ht="14.4" spans="1:10">
      <c r="A71" s="3" t="s">
        <v>305</v>
      </c>
      <c r="B71" s="3" t="s">
        <v>439</v>
      </c>
      <c r="C71" s="11" t="s">
        <v>440</v>
      </c>
      <c r="D71" s="11"/>
      <c r="E71" s="11"/>
      <c r="F71" s="11"/>
      <c r="G71" s="11"/>
      <c r="H71" s="11"/>
      <c r="I71" s="11"/>
      <c r="J71" t="s">
        <v>441</v>
      </c>
    </row>
    <row r="72" ht="14.4" spans="1:10">
      <c r="A72" s="3" t="s">
        <v>305</v>
      </c>
      <c r="B72" s="3" t="s">
        <v>442</v>
      </c>
      <c r="C72" s="11" t="s">
        <v>443</v>
      </c>
      <c r="D72" s="11"/>
      <c r="E72" s="11"/>
      <c r="F72" s="11"/>
      <c r="G72" s="11"/>
      <c r="H72" s="11"/>
      <c r="I72" s="11"/>
      <c r="J72" t="s">
        <v>444</v>
      </c>
    </row>
    <row r="73" ht="14.4" spans="1:10">
      <c r="A73" s="3" t="s">
        <v>305</v>
      </c>
      <c r="B73" s="3" t="s">
        <v>445</v>
      </c>
      <c r="C73" s="11" t="s">
        <v>446</v>
      </c>
      <c r="D73" s="11"/>
      <c r="E73" s="11"/>
      <c r="F73" s="11"/>
      <c r="G73" s="11"/>
      <c r="H73" s="11"/>
      <c r="I73" s="11"/>
      <c r="J73" t="s">
        <v>447</v>
      </c>
    </row>
    <row r="74" ht="14.4" spans="1:11">
      <c r="A74" s="3" t="s">
        <v>326</v>
      </c>
      <c r="B74" s="3" t="s">
        <v>448</v>
      </c>
      <c r="C74" s="11" t="s">
        <v>449</v>
      </c>
      <c r="D74" s="11"/>
      <c r="E74" s="11"/>
      <c r="F74" s="11"/>
      <c r="G74" s="11"/>
      <c r="H74" s="11"/>
      <c r="I74" s="11"/>
      <c r="J74" t="s">
        <v>450</v>
      </c>
      <c r="K74" t="s">
        <v>451</v>
      </c>
    </row>
    <row r="75" ht="14.4" spans="1:10">
      <c r="A75" s="3" t="s">
        <v>326</v>
      </c>
      <c r="B75" s="3" t="s">
        <v>452</v>
      </c>
      <c r="C75" s="11" t="s">
        <v>453</v>
      </c>
      <c r="D75" s="11"/>
      <c r="E75" s="11"/>
      <c r="F75" s="11"/>
      <c r="G75" s="11"/>
      <c r="H75" s="11"/>
      <c r="I75" s="11"/>
      <c r="J75" t="s">
        <v>454</v>
      </c>
    </row>
    <row r="76" ht="14.4" spans="1:10">
      <c r="A76" s="3" t="s">
        <v>326</v>
      </c>
      <c r="B76" s="3" t="s">
        <v>455</v>
      </c>
      <c r="C76" s="11" t="s">
        <v>456</v>
      </c>
      <c r="D76" s="11"/>
      <c r="E76" s="11"/>
      <c r="F76" s="11"/>
      <c r="G76" s="11"/>
      <c r="H76" s="11"/>
      <c r="I76" s="11"/>
      <c r="J76" t="s">
        <v>457</v>
      </c>
    </row>
    <row r="77" ht="14.4" spans="1:10">
      <c r="A77" s="3" t="s">
        <v>326</v>
      </c>
      <c r="B77" s="3" t="s">
        <v>458</v>
      </c>
      <c r="C77" s="11" t="s">
        <v>459</v>
      </c>
      <c r="D77" s="11"/>
      <c r="E77" s="11"/>
      <c r="F77" s="11"/>
      <c r="G77" s="11"/>
      <c r="H77" s="11"/>
      <c r="I77" s="11"/>
      <c r="J77" t="s">
        <v>460</v>
      </c>
    </row>
    <row r="78" ht="14.4" spans="1:10">
      <c r="A78" s="3" t="s">
        <v>326</v>
      </c>
      <c r="B78" s="3" t="s">
        <v>461</v>
      </c>
      <c r="C78" s="11" t="s">
        <v>462</v>
      </c>
      <c r="D78" s="11"/>
      <c r="E78" s="11"/>
      <c r="F78" s="11"/>
      <c r="G78" s="11"/>
      <c r="H78" s="11"/>
      <c r="I78" s="11"/>
      <c r="J78" t="s">
        <v>463</v>
      </c>
    </row>
    <row r="79" ht="14.4" spans="1:10">
      <c r="A79" s="3" t="s">
        <v>326</v>
      </c>
      <c r="B79" s="3" t="s">
        <v>464</v>
      </c>
      <c r="C79" s="11" t="s">
        <v>459</v>
      </c>
      <c r="D79" s="11"/>
      <c r="E79" s="11"/>
      <c r="F79" s="11"/>
      <c r="G79" s="11"/>
      <c r="H79" s="11"/>
      <c r="I79" s="11"/>
      <c r="J79" s="13" t="s">
        <v>465</v>
      </c>
    </row>
    <row r="80" ht="14.4" spans="1:10">
      <c r="A80" s="3" t="s">
        <v>352</v>
      </c>
      <c r="B80" s="3" t="s">
        <v>466</v>
      </c>
      <c r="C80" s="11" t="s">
        <v>467</v>
      </c>
      <c r="D80" s="11"/>
      <c r="E80" s="11"/>
      <c r="F80" s="11"/>
      <c r="G80" s="11"/>
      <c r="H80" s="11"/>
      <c r="I80" s="11"/>
      <c r="J80" s="13" t="s">
        <v>468</v>
      </c>
    </row>
    <row r="81" ht="14.4" spans="1:10">
      <c r="A81" s="3" t="s">
        <v>352</v>
      </c>
      <c r="B81" s="3" t="s">
        <v>469</v>
      </c>
      <c r="C81" s="11" t="s">
        <v>467</v>
      </c>
      <c r="D81" s="11"/>
      <c r="E81" s="11"/>
      <c r="F81" s="11"/>
      <c r="G81" s="11"/>
      <c r="H81" s="11"/>
      <c r="I81" s="11"/>
      <c r="J81" s="13" t="s">
        <v>470</v>
      </c>
    </row>
    <row r="82" ht="14.4" spans="1:11">
      <c r="A82" s="3" t="s">
        <v>352</v>
      </c>
      <c r="B82" s="3" t="s">
        <v>471</v>
      </c>
      <c r="C82" s="11" t="s">
        <v>472</v>
      </c>
      <c r="D82" s="11"/>
      <c r="E82" s="11"/>
      <c r="F82" s="11"/>
      <c r="G82" s="11"/>
      <c r="H82" s="11"/>
      <c r="I82" s="11"/>
      <c r="J82" t="s">
        <v>473</v>
      </c>
      <c r="K82" s="13" t="s">
        <v>474</v>
      </c>
    </row>
    <row r="83" ht="14.4" spans="1:11">
      <c r="A83" s="3" t="s">
        <v>352</v>
      </c>
      <c r="B83" s="3" t="s">
        <v>475</v>
      </c>
      <c r="C83" s="11" t="s">
        <v>472</v>
      </c>
      <c r="D83" s="11"/>
      <c r="E83" s="11"/>
      <c r="F83" s="11"/>
      <c r="G83" s="11"/>
      <c r="H83" s="11"/>
      <c r="I83" s="11"/>
      <c r="J83" t="s">
        <v>476</v>
      </c>
      <c r="K83" t="s">
        <v>477</v>
      </c>
    </row>
    <row r="84" ht="14.4" spans="1:13">
      <c r="A84" s="3" t="s">
        <v>352</v>
      </c>
      <c r="B84" s="3" t="s">
        <v>478</v>
      </c>
      <c r="C84" s="11" t="s">
        <v>479</v>
      </c>
      <c r="D84" s="11"/>
      <c r="E84" s="11"/>
      <c r="F84" s="11"/>
      <c r="G84" s="11"/>
      <c r="H84" s="11"/>
      <c r="I84" s="11"/>
      <c r="J84" t="s">
        <v>480</v>
      </c>
      <c r="K84" t="s">
        <v>481</v>
      </c>
      <c r="M84" t="s">
        <v>482</v>
      </c>
    </row>
    <row r="85" ht="14.4" spans="1:13">
      <c r="A85" s="3" t="s">
        <v>352</v>
      </c>
      <c r="B85" s="3" t="s">
        <v>483</v>
      </c>
      <c r="C85" s="11" t="s">
        <v>484</v>
      </c>
      <c r="D85" s="11"/>
      <c r="E85" s="11"/>
      <c r="F85" s="11"/>
      <c r="G85" s="11"/>
      <c r="H85" s="11"/>
      <c r="I85" s="11"/>
      <c r="J85" t="s">
        <v>485</v>
      </c>
      <c r="K85" t="s">
        <v>486</v>
      </c>
      <c r="M85" s="13" t="s">
        <v>487</v>
      </c>
    </row>
    <row r="87" ht="14.4" spans="1:9">
      <c r="A87" s="1" t="s">
        <v>282</v>
      </c>
      <c r="B87" s="1" t="s">
        <v>283</v>
      </c>
      <c r="C87" s="2" t="s">
        <v>284</v>
      </c>
      <c r="D87" s="2"/>
      <c r="E87" s="2"/>
      <c r="F87" s="2"/>
      <c r="G87" s="2"/>
      <c r="H87" s="2"/>
      <c r="I87" s="2"/>
    </row>
    <row r="88" ht="14.4" spans="1:9">
      <c r="A88" s="3" t="s">
        <v>488</v>
      </c>
      <c r="B88" s="3" t="s">
        <v>287</v>
      </c>
      <c r="C88" s="4" t="s">
        <v>489</v>
      </c>
      <c r="D88" s="4" t="s">
        <v>490</v>
      </c>
      <c r="E88" s="4"/>
      <c r="F88" s="5"/>
      <c r="G88" s="5"/>
      <c r="H88" s="5"/>
      <c r="I88" s="5"/>
    </row>
    <row r="89" ht="14.4" spans="1:9">
      <c r="A89" s="3" t="s">
        <v>491</v>
      </c>
      <c r="B89" s="3" t="s">
        <v>287</v>
      </c>
      <c r="C89" s="4" t="s">
        <v>489</v>
      </c>
      <c r="D89" s="4" t="s">
        <v>492</v>
      </c>
      <c r="E89" s="4"/>
      <c r="F89" s="5"/>
      <c r="G89" s="5"/>
      <c r="H89" s="5"/>
      <c r="I89" s="5"/>
    </row>
    <row r="90" ht="14.4" spans="1:9">
      <c r="A90" s="3" t="s">
        <v>493</v>
      </c>
      <c r="B90" s="3" t="s">
        <v>287</v>
      </c>
      <c r="C90" s="4" t="s">
        <v>489</v>
      </c>
      <c r="D90" s="4" t="s">
        <v>494</v>
      </c>
      <c r="E90" s="4"/>
      <c r="F90" s="5"/>
      <c r="G90" s="5"/>
      <c r="H90" s="5"/>
      <c r="I90" s="5"/>
    </row>
    <row r="91" ht="14.4" spans="1:9">
      <c r="A91" s="3" t="s">
        <v>495</v>
      </c>
      <c r="B91" s="3" t="s">
        <v>287</v>
      </c>
      <c r="C91" s="4" t="s">
        <v>489</v>
      </c>
      <c r="D91" s="4" t="s">
        <v>496</v>
      </c>
      <c r="E91" s="4"/>
      <c r="F91" s="5"/>
      <c r="G91" s="5"/>
      <c r="H91" s="5"/>
      <c r="I91" s="5"/>
    </row>
    <row r="92" ht="14.4" spans="1:9">
      <c r="A92" s="3" t="s">
        <v>497</v>
      </c>
      <c r="B92" s="3" t="s">
        <v>287</v>
      </c>
      <c r="C92" s="4" t="s">
        <v>489</v>
      </c>
      <c r="D92" s="4" t="s">
        <v>424</v>
      </c>
      <c r="E92" s="4"/>
      <c r="F92" s="5"/>
      <c r="G92" s="5"/>
      <c r="H92" s="5"/>
      <c r="I92" s="5"/>
    </row>
    <row r="93" spans="1:9">
      <c r="A93" s="5"/>
      <c r="B93" s="5"/>
      <c r="C93" s="5"/>
      <c r="D93" s="5"/>
      <c r="E93" s="5"/>
      <c r="F93" s="5"/>
      <c r="G93" s="5"/>
      <c r="H93" s="5"/>
      <c r="I93" s="5"/>
    </row>
    <row r="94" ht="14.4" spans="1:9">
      <c r="A94" s="3" t="s">
        <v>498</v>
      </c>
      <c r="B94" s="3" t="s">
        <v>305</v>
      </c>
      <c r="C94" s="4" t="s">
        <v>499</v>
      </c>
      <c r="D94" s="4" t="s">
        <v>500</v>
      </c>
      <c r="E94" s="3" t="s">
        <v>501</v>
      </c>
      <c r="F94" s="3" t="s">
        <v>502</v>
      </c>
      <c r="G94" s="5"/>
      <c r="H94" s="5"/>
      <c r="I94" s="5"/>
    </row>
    <row r="95" ht="14.4" spans="1:9">
      <c r="A95" s="3" t="s">
        <v>503</v>
      </c>
      <c r="B95" s="3" t="s">
        <v>305</v>
      </c>
      <c r="C95" s="4" t="s">
        <v>499</v>
      </c>
      <c r="D95" s="4" t="s">
        <v>504</v>
      </c>
      <c r="E95" s="3" t="s">
        <v>505</v>
      </c>
      <c r="F95" s="3" t="s">
        <v>506</v>
      </c>
      <c r="G95" s="5"/>
      <c r="H95" s="5"/>
      <c r="I95" s="5"/>
    </row>
    <row r="96" ht="14.4" spans="1:9">
      <c r="A96" s="3" t="s">
        <v>507</v>
      </c>
      <c r="B96" s="3" t="s">
        <v>305</v>
      </c>
      <c r="C96" s="4" t="s">
        <v>499</v>
      </c>
      <c r="D96" s="4" t="s">
        <v>508</v>
      </c>
      <c r="E96" s="3" t="s">
        <v>509</v>
      </c>
      <c r="F96" s="3" t="s">
        <v>510</v>
      </c>
      <c r="G96" s="5"/>
      <c r="H96" s="5"/>
      <c r="I96" s="5"/>
    </row>
    <row r="97" ht="14.4" spans="1:9">
      <c r="A97" s="3" t="s">
        <v>511</v>
      </c>
      <c r="B97" s="3" t="s">
        <v>305</v>
      </c>
      <c r="C97" s="4" t="s">
        <v>499</v>
      </c>
      <c r="D97" s="4" t="s">
        <v>512</v>
      </c>
      <c r="E97" s="3" t="s">
        <v>513</v>
      </c>
      <c r="F97" s="3" t="s">
        <v>514</v>
      </c>
      <c r="G97" s="5"/>
      <c r="H97" s="5"/>
      <c r="I97" s="5"/>
    </row>
    <row r="98" ht="14.4" spans="1:9">
      <c r="A98" s="3" t="s">
        <v>515</v>
      </c>
      <c r="B98" s="3" t="s">
        <v>305</v>
      </c>
      <c r="C98" s="4" t="s">
        <v>499</v>
      </c>
      <c r="D98" s="4" t="s">
        <v>516</v>
      </c>
      <c r="E98" s="3" t="s">
        <v>436</v>
      </c>
      <c r="F98" s="3" t="s">
        <v>444</v>
      </c>
      <c r="G98" s="5"/>
      <c r="H98" s="5"/>
      <c r="I98" s="4" t="s">
        <v>517</v>
      </c>
    </row>
    <row r="99" spans="1:9">
      <c r="A99" s="5"/>
      <c r="B99" s="5"/>
      <c r="C99" s="5"/>
      <c r="D99" s="5"/>
      <c r="E99" s="5"/>
      <c r="F99" s="5"/>
      <c r="G99" s="5"/>
      <c r="H99" s="5"/>
      <c r="I99" s="5"/>
    </row>
    <row r="100" ht="14.4" spans="1:9">
      <c r="A100" s="3" t="s">
        <v>518</v>
      </c>
      <c r="B100" s="3" t="s">
        <v>326</v>
      </c>
      <c r="C100" s="4" t="s">
        <v>519</v>
      </c>
      <c r="D100" s="4" t="s">
        <v>520</v>
      </c>
      <c r="E100" s="3" t="s">
        <v>521</v>
      </c>
      <c r="F100" s="3" t="s">
        <v>522</v>
      </c>
      <c r="G100" s="3" t="s">
        <v>523</v>
      </c>
      <c r="H100" s="5"/>
      <c r="I100" s="5"/>
    </row>
    <row r="101" ht="14.4" spans="1:9">
      <c r="A101" s="3" t="s">
        <v>524</v>
      </c>
      <c r="B101" s="3" t="s">
        <v>326</v>
      </c>
      <c r="C101" s="4" t="s">
        <v>519</v>
      </c>
      <c r="D101" s="4" t="s">
        <v>525</v>
      </c>
      <c r="E101" s="3" t="s">
        <v>526</v>
      </c>
      <c r="F101" s="3" t="s">
        <v>527</v>
      </c>
      <c r="G101" s="3" t="s">
        <v>528</v>
      </c>
      <c r="H101" s="5"/>
      <c r="I101" s="5"/>
    </row>
    <row r="102" ht="14.4" spans="1:9">
      <c r="A102" s="3" t="s">
        <v>529</v>
      </c>
      <c r="B102" s="3" t="s">
        <v>326</v>
      </c>
      <c r="C102" s="4" t="s">
        <v>519</v>
      </c>
      <c r="D102" s="4" t="s">
        <v>530</v>
      </c>
      <c r="E102" s="3" t="s">
        <v>531</v>
      </c>
      <c r="F102" s="3" t="s">
        <v>532</v>
      </c>
      <c r="G102" s="3" t="s">
        <v>533</v>
      </c>
      <c r="H102" s="5"/>
      <c r="I102" s="5"/>
    </row>
    <row r="103" ht="14.4" spans="1:9">
      <c r="A103" s="3" t="s">
        <v>534</v>
      </c>
      <c r="B103" s="3" t="s">
        <v>326</v>
      </c>
      <c r="C103" s="4" t="s">
        <v>519</v>
      </c>
      <c r="D103" s="4" t="s">
        <v>535</v>
      </c>
      <c r="E103" s="3" t="s">
        <v>536</v>
      </c>
      <c r="F103" s="3" t="s">
        <v>537</v>
      </c>
      <c r="G103" s="3" t="s">
        <v>538</v>
      </c>
      <c r="H103" s="5"/>
      <c r="I103" s="5"/>
    </row>
    <row r="104" ht="14.4" spans="1:9">
      <c r="A104" s="3" t="s">
        <v>539</v>
      </c>
      <c r="B104" s="3" t="s">
        <v>326</v>
      </c>
      <c r="C104" s="4" t="s">
        <v>519</v>
      </c>
      <c r="D104" s="4" t="s">
        <v>540</v>
      </c>
      <c r="E104" s="3" t="s">
        <v>450</v>
      </c>
      <c r="F104" s="3" t="s">
        <v>451</v>
      </c>
      <c r="G104" s="3" t="s">
        <v>447</v>
      </c>
      <c r="H104" s="5"/>
      <c r="I104" s="5"/>
    </row>
    <row r="105" spans="1:9">
      <c r="A105" s="5"/>
      <c r="B105" s="5"/>
      <c r="C105" s="5"/>
      <c r="D105" s="5"/>
      <c r="E105" s="5"/>
      <c r="F105" s="5"/>
      <c r="G105" s="5"/>
      <c r="H105" s="5"/>
      <c r="I105" s="5"/>
    </row>
    <row r="106" ht="14.4" spans="1:9">
      <c r="A106" s="3" t="s">
        <v>541</v>
      </c>
      <c r="B106" s="3" t="s">
        <v>352</v>
      </c>
      <c r="C106" s="4" t="s">
        <v>542</v>
      </c>
      <c r="D106" s="4" t="s">
        <v>543</v>
      </c>
      <c r="E106" s="3" t="s">
        <v>544</v>
      </c>
      <c r="F106" s="3" t="s">
        <v>545</v>
      </c>
      <c r="G106" s="3" t="s">
        <v>546</v>
      </c>
      <c r="H106" s="3" t="s">
        <v>547</v>
      </c>
      <c r="I106" s="5"/>
    </row>
    <row r="107" ht="14.4" spans="1:9">
      <c r="A107" s="3" t="s">
        <v>548</v>
      </c>
      <c r="B107" s="3" t="s">
        <v>352</v>
      </c>
      <c r="C107" s="4" t="s">
        <v>542</v>
      </c>
      <c r="D107" s="4" t="s">
        <v>549</v>
      </c>
      <c r="E107" s="3" t="s">
        <v>550</v>
      </c>
      <c r="F107" s="3" t="s">
        <v>551</v>
      </c>
      <c r="G107" s="3" t="s">
        <v>552</v>
      </c>
      <c r="H107" s="3" t="s">
        <v>553</v>
      </c>
      <c r="I107" s="5"/>
    </row>
    <row r="108" ht="14.4" spans="1:9">
      <c r="A108" s="3" t="s">
        <v>554</v>
      </c>
      <c r="B108" s="3" t="s">
        <v>352</v>
      </c>
      <c r="C108" s="4" t="s">
        <v>542</v>
      </c>
      <c r="D108" s="4" t="s">
        <v>555</v>
      </c>
      <c r="E108" s="3" t="s">
        <v>556</v>
      </c>
      <c r="F108" s="3" t="s">
        <v>557</v>
      </c>
      <c r="G108" s="3" t="s">
        <v>558</v>
      </c>
      <c r="H108" s="3" t="s">
        <v>559</v>
      </c>
      <c r="I108" s="5"/>
    </row>
    <row r="109" ht="14.4" spans="1:9">
      <c r="A109" s="3" t="s">
        <v>560</v>
      </c>
      <c r="B109" s="3" t="s">
        <v>352</v>
      </c>
      <c r="C109" s="4" t="s">
        <v>542</v>
      </c>
      <c r="D109" s="4" t="s">
        <v>561</v>
      </c>
      <c r="E109" s="3" t="s">
        <v>562</v>
      </c>
      <c r="F109" s="3" t="s">
        <v>563</v>
      </c>
      <c r="G109" s="3" t="s">
        <v>564</v>
      </c>
      <c r="H109" s="3" t="s">
        <v>565</v>
      </c>
      <c r="I109" s="5"/>
    </row>
    <row r="110" ht="14.4" spans="1:9">
      <c r="A110" s="3" t="s">
        <v>566</v>
      </c>
      <c r="B110" s="3" t="s">
        <v>352</v>
      </c>
      <c r="C110" s="4" t="s">
        <v>542</v>
      </c>
      <c r="D110" s="4" t="s">
        <v>567</v>
      </c>
      <c r="E110" s="3" t="s">
        <v>481</v>
      </c>
      <c r="F110" s="3" t="s">
        <v>486</v>
      </c>
      <c r="G110" s="3" t="s">
        <v>568</v>
      </c>
      <c r="H110" s="3" t="s">
        <v>569</v>
      </c>
      <c r="I110" s="5"/>
    </row>
  </sheetData>
  <mergeCells count="48">
    <mergeCell ref="C1:I1"/>
    <mergeCell ref="J1:O1"/>
    <mergeCell ref="J2:O2"/>
    <mergeCell ref="J3:O3"/>
    <mergeCell ref="J4:O4"/>
    <mergeCell ref="J5:O5"/>
    <mergeCell ref="J6:O6"/>
    <mergeCell ref="J7:O7"/>
    <mergeCell ref="J8:O8"/>
    <mergeCell ref="J9:O9"/>
    <mergeCell ref="J10:O10"/>
    <mergeCell ref="J11:O11"/>
    <mergeCell ref="J12:O12"/>
    <mergeCell ref="J13:O13"/>
    <mergeCell ref="J14:O14"/>
    <mergeCell ref="J15:O15"/>
    <mergeCell ref="J16:O16"/>
    <mergeCell ref="J17:O17"/>
    <mergeCell ref="J18:O18"/>
    <mergeCell ref="J19:O19"/>
    <mergeCell ref="J20:O20"/>
    <mergeCell ref="J21:O21"/>
    <mergeCell ref="C61:I61"/>
    <mergeCell ref="C62:I62"/>
    <mergeCell ref="C63:I63"/>
    <mergeCell ref="C64:I64"/>
    <mergeCell ref="C65:I65"/>
    <mergeCell ref="C66:I66"/>
    <mergeCell ref="C67:I67"/>
    <mergeCell ref="C68:I68"/>
    <mergeCell ref="C69:I69"/>
    <mergeCell ref="C70:I70"/>
    <mergeCell ref="C71:I71"/>
    <mergeCell ref="C72:I72"/>
    <mergeCell ref="C73:I73"/>
    <mergeCell ref="C74:I74"/>
    <mergeCell ref="C75:I75"/>
    <mergeCell ref="C76:I76"/>
    <mergeCell ref="C77:I77"/>
    <mergeCell ref="C78:I78"/>
    <mergeCell ref="C79:I79"/>
    <mergeCell ref="C80:I80"/>
    <mergeCell ref="C81:I81"/>
    <mergeCell ref="C82:I82"/>
    <mergeCell ref="C83:I83"/>
    <mergeCell ref="C84:I84"/>
    <mergeCell ref="C85:I85"/>
    <mergeCell ref="C87:I87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</vt:lpstr>
      <vt:lpstr>技能</vt:lpstr>
      <vt:lpstr>科技</vt:lpstr>
      <vt:lpstr>物品</vt:lpstr>
      <vt:lpstr>辅助表格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Do if you want to</cp:lastModifiedBy>
  <dcterms:created xsi:type="dcterms:W3CDTF">2015-06-05T18:19:00Z</dcterms:created>
  <dcterms:modified xsi:type="dcterms:W3CDTF">2025-04-18T01:33:31Z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2052-12.1.0.20784</vt:lpwstr>
  </property>
  <property fmtid="{D5CDD505-2E9C-101B-9397-08002B2CF9AE}" pid="3" name="ICV">
    <vt:lpwstr>FB8C112772904212A18220898E5E65D5_12</vt:lpwstr>
  </property>
</Properties>
</file>